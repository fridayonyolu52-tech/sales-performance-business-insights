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FRIDAY ONYOLU\Desktop\WORKSTATION\Data_Analysis, Data_Entry Portfolio\Project 03 - Sales Performance &amp; Business Insights\"/>
    </mc:Choice>
  </mc:AlternateContent>
  <xr:revisionPtr revIDLastSave="0" documentId="13_ncr:1_{8C4D97D1-BB5E-4A3C-8FE9-19784990AF26}" xr6:coauthVersionLast="43" xr6:coauthVersionMax="43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Raw_Sales_Data" sheetId="1" r:id="rId1"/>
    <sheet name="Sales Analysis" sheetId="2" r:id="rId2"/>
    <sheet name="Product Analysis" sheetId="3" r:id="rId3"/>
    <sheet name="Data Inspection" sheetId="4" r:id="rId4"/>
    <sheet name="Revenue by Category" sheetId="5" r:id="rId5"/>
    <sheet name="Dashboard" sheetId="6" r:id="rId6"/>
    <sheet name="Regional Revenue" sheetId="7" r:id="rId7"/>
    <sheet name="Monthly Revenue" sheetId="8" r:id="rId8"/>
  </sheets>
  <externalReferences>
    <externalReference r:id="rId9"/>
  </externalReferences>
  <definedNames>
    <definedName name="_xlnm._FilterDatabase" localSheetId="7" hidden="1">'Monthly Revenue'!$B$22:$F$35</definedName>
    <definedName name="_xlnm._FilterDatabase" localSheetId="0" hidden="1">Raw_Sales_Data!$A$1:$N$501</definedName>
    <definedName name="_xlcn.WorksheetConnection_Raw_Sales_DataA1N5011" hidden="1">Raw_Sales_Data!$A$1:$N$501</definedName>
  </definedNames>
  <calcPr calcId="191029" iterateDelta="1E-4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61" i="3" l="1"/>
  <c r="K60" i="3"/>
  <c r="K59" i="3"/>
  <c r="K58" i="3"/>
  <c r="K57" i="3"/>
  <c r="K56" i="3"/>
  <c r="K55" i="3"/>
  <c r="K54" i="3"/>
  <c r="K53" i="3"/>
  <c r="K52" i="3"/>
  <c r="K51" i="3"/>
  <c r="K50" i="3"/>
  <c r="K49" i="3"/>
  <c r="K43" i="3"/>
  <c r="K42" i="3"/>
  <c r="K41" i="3"/>
  <c r="K40" i="3"/>
  <c r="K39" i="3"/>
  <c r="K38" i="3"/>
  <c r="K37" i="3"/>
  <c r="K32" i="3"/>
  <c r="K31" i="3"/>
  <c r="K30" i="3"/>
  <c r="K29" i="3"/>
  <c r="K28" i="3"/>
  <c r="K23" i="3"/>
  <c r="K22" i="3"/>
  <c r="K21" i="3"/>
  <c r="K20" i="3"/>
  <c r="K19" i="3"/>
  <c r="J12" i="3"/>
  <c r="J11" i="3"/>
  <c r="J10" i="3"/>
  <c r="J9" i="3"/>
  <c r="J8" i="3"/>
  <c r="J7" i="3"/>
  <c r="J6" i="3"/>
  <c r="J5" i="3"/>
  <c r="J4" i="3"/>
  <c r="B6" i="2"/>
  <c r="B5" i="2"/>
  <c r="E5" i="6" s="1"/>
  <c r="B4" i="2"/>
  <c r="C5" i="6" s="1"/>
  <c r="B3" i="2"/>
  <c r="B2" i="2"/>
  <c r="B7" i="2" s="1"/>
  <c r="B8" i="2" l="1"/>
  <c r="G5" i="6" s="1"/>
  <c r="A5" i="6"/>
</calcChain>
</file>

<file path=xl/sharedStrings.xml><?xml version="1.0" encoding="utf-8"?>
<sst xmlns="http://schemas.openxmlformats.org/spreadsheetml/2006/main" count="3265" uniqueCount="839">
  <si>
    <t>Order_ID</t>
  </si>
  <si>
    <t>Order_Date</t>
  </si>
  <si>
    <t>Customer_ID</t>
  </si>
  <si>
    <t>Product</t>
  </si>
  <si>
    <t>Category</t>
  </si>
  <si>
    <t>Region</t>
  </si>
  <si>
    <t>Salesperson</t>
  </si>
  <si>
    <t>Quantity</t>
  </si>
  <si>
    <t>Unit_Price</t>
  </si>
  <si>
    <t>Discount</t>
  </si>
  <si>
    <t>Revenue</t>
  </si>
  <si>
    <t>Cost</t>
  </si>
  <si>
    <t>Profit</t>
  </si>
  <si>
    <t>Profit_Margin</t>
  </si>
  <si>
    <t>ORD-00101</t>
  </si>
  <si>
    <t>CUST-1221</t>
  </si>
  <si>
    <t>Printer</t>
  </si>
  <si>
    <t>Office Equipment</t>
  </si>
  <si>
    <t>East</t>
  </si>
  <si>
    <t>Daniel</t>
  </si>
  <si>
    <t>ORD-00303</t>
  </si>
  <si>
    <t>CUST-1050</t>
  </si>
  <si>
    <t>Keyboard</t>
  </si>
  <si>
    <t>Accessories</t>
  </si>
  <si>
    <t>South</t>
  </si>
  <si>
    <t>Grace</t>
  </si>
  <si>
    <t>ORD-00332</t>
  </si>
  <si>
    <t>CUST-1174</t>
  </si>
  <si>
    <t>Laptop</t>
  </si>
  <si>
    <t>Electronics</t>
  </si>
  <si>
    <t>North</t>
  </si>
  <si>
    <t>ORD-00410</t>
  </si>
  <si>
    <t>CUST-1097</t>
  </si>
  <si>
    <t>Desk</t>
  </si>
  <si>
    <t>Furniture</t>
  </si>
  <si>
    <t>Chinedu</t>
  </si>
  <si>
    <t>ORD-00151</t>
  </si>
  <si>
    <t>CUST-1139</t>
  </si>
  <si>
    <t>West</t>
  </si>
  <si>
    <t>ORD-00070</t>
  </si>
  <si>
    <t>CUST-1063</t>
  </si>
  <si>
    <t>ORD-00268</t>
  </si>
  <si>
    <t>CUST-1052</t>
  </si>
  <si>
    <t>Headset</t>
  </si>
  <si>
    <t>ORD-00375</t>
  </si>
  <si>
    <t>CUST-1145</t>
  </si>
  <si>
    <t>Ibrahim</t>
  </si>
  <si>
    <t>ORD-00497</t>
  </si>
  <si>
    <t>CUST-1122</t>
  </si>
  <si>
    <t>Fatima</t>
  </si>
  <si>
    <t>ORD-00396</t>
  </si>
  <si>
    <t>CUST-1084</t>
  </si>
  <si>
    <t>Mouse</t>
  </si>
  <si>
    <t>Amina</t>
  </si>
  <si>
    <t>ORD-00260</t>
  </si>
  <si>
    <t>CUST-1164</t>
  </si>
  <si>
    <t>ORD-00342</t>
  </si>
  <si>
    <t>CUST-1021</t>
  </si>
  <si>
    <t>ORD-00483</t>
  </si>
  <si>
    <t>CUST-1222</t>
  </si>
  <si>
    <t>Office Chair</t>
  </si>
  <si>
    <t>ORD-00256</t>
  </si>
  <si>
    <t>CUST-1120</t>
  </si>
  <si>
    <t>ORD-00139</t>
  </si>
  <si>
    <t>CUST-1175</t>
  </si>
  <si>
    <t>ORD-00369</t>
  </si>
  <si>
    <t>CUST-1087</t>
  </si>
  <si>
    <t>ORD-00173</t>
  </si>
  <si>
    <t>CUST-1200</t>
  </si>
  <si>
    <t>ORD-00336</t>
  </si>
  <si>
    <t>CUST-1147</t>
  </si>
  <si>
    <t>ORD-00033</t>
  </si>
  <si>
    <t>CUST-1012</t>
  </si>
  <si>
    <t>ORD-00209</t>
  </si>
  <si>
    <t>CUST-1091</t>
  </si>
  <si>
    <t>ORD-00330</t>
  </si>
  <si>
    <t>CUST-1182</t>
  </si>
  <si>
    <t>ORD-00152</t>
  </si>
  <si>
    <t>CUST-1094</t>
  </si>
  <si>
    <t>ORD-00007</t>
  </si>
  <si>
    <t>CUST-1197</t>
  </si>
  <si>
    <t>ORD-00221</t>
  </si>
  <si>
    <t>CUST-1030</t>
  </si>
  <si>
    <t>ORD-00291</t>
  </si>
  <si>
    <t>CUST-1183</t>
  </si>
  <si>
    <t>ORD-00038</t>
  </si>
  <si>
    <t>CUST-1109</t>
  </si>
  <si>
    <t>ORD-00326</t>
  </si>
  <si>
    <t>ORD-00137</t>
  </si>
  <si>
    <t>CUST-1041</t>
  </si>
  <si>
    <t>ORD-00402</t>
  </si>
  <si>
    <t>CUST-1049</t>
  </si>
  <si>
    <t>ORD-00235</t>
  </si>
  <si>
    <t>CUST-1083</t>
  </si>
  <si>
    <t>ORD-00030</t>
  </si>
  <si>
    <t>CUST-1060</t>
  </si>
  <si>
    <t>ORD-00351</t>
  </si>
  <si>
    <t>CUST-1199</t>
  </si>
  <si>
    <t>ORD-00269</t>
  </si>
  <si>
    <t>CUST-1089</t>
  </si>
  <si>
    <t>ORD-00456</t>
  </si>
  <si>
    <t>ORD-00162</t>
  </si>
  <si>
    <t>CUST-1227</t>
  </si>
  <si>
    <t>ORD-00416</t>
  </si>
  <si>
    <t>CUST-1192</t>
  </si>
  <si>
    <t>ORD-00469</t>
  </si>
  <si>
    <t>ORD-00178</t>
  </si>
  <si>
    <t>CUST-1067</t>
  </si>
  <si>
    <t>ORD-00363</t>
  </si>
  <si>
    <t>CUST-1162</t>
  </si>
  <si>
    <t>ORD-00036</t>
  </si>
  <si>
    <t>CUST-1080</t>
  </si>
  <si>
    <t>ORD-00200</t>
  </si>
  <si>
    <t>CUST-1077</t>
  </si>
  <si>
    <t>ORD-00206</t>
  </si>
  <si>
    <t>CUST-1219</t>
  </si>
  <si>
    <t>ORD-00027</t>
  </si>
  <si>
    <t>CUST-1104</t>
  </si>
  <si>
    <t>ORD-00131</t>
  </si>
  <si>
    <t>CUST-1190</t>
  </si>
  <si>
    <t>ORD-00240</t>
  </si>
  <si>
    <t>CUST-1019</t>
  </si>
  <si>
    <t>ORD-00292</t>
  </si>
  <si>
    <t>CUST-1016</t>
  </si>
  <si>
    <t>ORD-00420</t>
  </si>
  <si>
    <t>CUST-1054</t>
  </si>
  <si>
    <t>ORD-00354</t>
  </si>
  <si>
    <t>CUST-1004</t>
  </si>
  <si>
    <t>ORD-00243</t>
  </si>
  <si>
    <t>CUST-1212</t>
  </si>
  <si>
    <t>ORD-00170</t>
  </si>
  <si>
    <t>CUST-1148</t>
  </si>
  <si>
    <t>ORD-00475</t>
  </si>
  <si>
    <t>CUST-1215</t>
  </si>
  <si>
    <t>ORD-00171</t>
  </si>
  <si>
    <t>CUST-1124</t>
  </si>
  <si>
    <t>ORD-00311</t>
  </si>
  <si>
    <t>CUST-1172</t>
  </si>
  <si>
    <t>ORD-00362</t>
  </si>
  <si>
    <t>CUST-1216</t>
  </si>
  <si>
    <t>ORD-00076</t>
  </si>
  <si>
    <t>CUST-1013</t>
  </si>
  <si>
    <t>Monitor</t>
  </si>
  <si>
    <t>ORD-00125</t>
  </si>
  <si>
    <t>CUST-1218</t>
  </si>
  <si>
    <t>ORD-00327</t>
  </si>
  <si>
    <t>ORD-00107</t>
  </si>
  <si>
    <t>CUST-1211</t>
  </si>
  <si>
    <t>ORD-00049</t>
  </si>
  <si>
    <t>CUST-1008</t>
  </si>
  <si>
    <t>ORD-00411</t>
  </si>
  <si>
    <t>CUST-1090</t>
  </si>
  <si>
    <t>ORD-00459</t>
  </si>
  <si>
    <t>CUST-1240</t>
  </si>
  <si>
    <t>ORD-00495</t>
  </si>
  <si>
    <t>CUST-1225</t>
  </si>
  <si>
    <t>ORD-00230</t>
  </si>
  <si>
    <t>CUST-1102</t>
  </si>
  <si>
    <t>ORD-00067</t>
  </si>
  <si>
    <t>CUST-1119</t>
  </si>
  <si>
    <t>ORD-00236</t>
  </si>
  <si>
    <t>CUST-1110</t>
  </si>
  <si>
    <t>ORD-00403</t>
  </si>
  <si>
    <t>CUST-1046</t>
  </si>
  <si>
    <t>ORD-00471</t>
  </si>
  <si>
    <t>ORD-00010</t>
  </si>
  <si>
    <t>CUST-1248</t>
  </si>
  <si>
    <t>ORD-00064</t>
  </si>
  <si>
    <t>ORD-00333</t>
  </si>
  <si>
    <t>CUST-1047</t>
  </si>
  <si>
    <t>ORD-00428</t>
  </si>
  <si>
    <t>CUST-1017</t>
  </si>
  <si>
    <t>ORD-00239</t>
  </si>
  <si>
    <t>CUST-1170</t>
  </si>
  <si>
    <t>ORD-00011</t>
  </si>
  <si>
    <t>ORD-00057</t>
  </si>
  <si>
    <t>ORD-00091</t>
  </si>
  <si>
    <t>CUST-1196</t>
  </si>
  <si>
    <t>ORD-00099</t>
  </si>
  <si>
    <t>CUST-1189</t>
  </si>
  <si>
    <t>ORD-00299</t>
  </si>
  <si>
    <t>CUST-1035</t>
  </si>
  <si>
    <t>ORD-00310</t>
  </si>
  <si>
    <t>CUST-1195</t>
  </si>
  <si>
    <t>ORD-00068</t>
  </si>
  <si>
    <t>ORD-00493</t>
  </si>
  <si>
    <t>ORD-00216</t>
  </si>
  <si>
    <t>CUST-1245</t>
  </si>
  <si>
    <t>ORD-00052</t>
  </si>
  <si>
    <t>ORD-00386</t>
  </si>
  <si>
    <t>CUST-1185</t>
  </si>
  <si>
    <t>ORD-00167</t>
  </si>
  <si>
    <t>CUST-1167</t>
  </si>
  <si>
    <t>ORD-00378</t>
  </si>
  <si>
    <t>CUST-1006</t>
  </si>
  <si>
    <t>ORD-00439</t>
  </si>
  <si>
    <t>CUST-1011</t>
  </si>
  <si>
    <t>ORD-00113</t>
  </si>
  <si>
    <t>ORD-00124</t>
  </si>
  <si>
    <t>ORD-00233</t>
  </si>
  <si>
    <t>CUST-1176</t>
  </si>
  <si>
    <t>ORD-00468</t>
  </si>
  <si>
    <t>CUST-1153</t>
  </si>
  <si>
    <t>ORD-00282</t>
  </si>
  <si>
    <t>ORD-00419</t>
  </si>
  <si>
    <t>CUST-1107</t>
  </si>
  <si>
    <t>ORD-00257</t>
  </si>
  <si>
    <t>CUST-1166</t>
  </si>
  <si>
    <t>ORD-00190</t>
  </si>
  <si>
    <t>CUST-1181</t>
  </si>
  <si>
    <t>ORD-00440</t>
  </si>
  <si>
    <t>CUST-1238</t>
  </si>
  <si>
    <t>ORD-00117</t>
  </si>
  <si>
    <t>CUST-1213</t>
  </si>
  <si>
    <t>ORD-00225</t>
  </si>
  <si>
    <t>CUST-1025</t>
  </si>
  <si>
    <t>ORD-00255</t>
  </si>
  <si>
    <t>CUST-1142</t>
  </si>
  <si>
    <t>ORD-00409</t>
  </si>
  <si>
    <t>ORD-00318</t>
  </si>
  <si>
    <t>ORD-00460</t>
  </si>
  <si>
    <t>CUST-1161</t>
  </si>
  <si>
    <t>ORD-00365</t>
  </si>
  <si>
    <t>ORD-00406</t>
  </si>
  <si>
    <t>CUST-1136</t>
  </si>
  <si>
    <t>ORD-00217</t>
  </si>
  <si>
    <t>CUST-1072</t>
  </si>
  <si>
    <t>ORD-00408</t>
  </si>
  <si>
    <t>ORD-00120</t>
  </si>
  <si>
    <t>CUST-1214</t>
  </si>
  <si>
    <t>ORD-00108</t>
  </si>
  <si>
    <t>ORD-00181</t>
  </si>
  <si>
    <t>ORD-00184</t>
  </si>
  <si>
    <t>CUST-1143</t>
  </si>
  <si>
    <t>ORD-00346</t>
  </si>
  <si>
    <t>CUST-1249</t>
  </si>
  <si>
    <t>ORD-00288</t>
  </si>
  <si>
    <t>CUST-1169</t>
  </si>
  <si>
    <t>ORD-00043</t>
  </si>
  <si>
    <t>CUST-1040</t>
  </si>
  <si>
    <t>ORD-00090</t>
  </si>
  <si>
    <t>ORD-00498</t>
  </si>
  <si>
    <t>CUST-1243</t>
  </si>
  <si>
    <t>ORD-00183</t>
  </si>
  <si>
    <t>CUST-1038</t>
  </si>
  <si>
    <t>ORD-00491</t>
  </si>
  <si>
    <t>CUST-1156</t>
  </si>
  <si>
    <t>ORD-00126</t>
  </si>
  <si>
    <t>ORD-00174</t>
  </si>
  <si>
    <t>CUST-1247</t>
  </si>
  <si>
    <t>ORD-00418</t>
  </si>
  <si>
    <t>CUST-1106</t>
  </si>
  <si>
    <t>ORD-00482</t>
  </si>
  <si>
    <t>CUST-1068</t>
  </si>
  <si>
    <t>ORD-00104</t>
  </si>
  <si>
    <t>CUST-1230</t>
  </si>
  <si>
    <t>ORD-00148</t>
  </si>
  <si>
    <t>ORD-00201</t>
  </si>
  <si>
    <t>CUST-1207</t>
  </si>
  <si>
    <t>ORD-00392</t>
  </si>
  <si>
    <t>ORD-00447</t>
  </si>
  <si>
    <t>CUST-1001</t>
  </si>
  <si>
    <t>ORD-00199</t>
  </si>
  <si>
    <t>CUST-1099</t>
  </si>
  <si>
    <t>ORD-00234</t>
  </si>
  <si>
    <t>ORD-00394</t>
  </si>
  <si>
    <t>ORD-00132</t>
  </si>
  <si>
    <t>ORD-00142</t>
  </si>
  <si>
    <t>CUST-1075</t>
  </si>
  <si>
    <t>ORD-00223</t>
  </si>
  <si>
    <t>ORD-00065</t>
  </si>
  <si>
    <t>ORD-00164</t>
  </si>
  <si>
    <t>ORD-00071</t>
  </si>
  <si>
    <t>ORD-00441</t>
  </si>
  <si>
    <t>ORD-00023</t>
  </si>
  <si>
    <t>ORD-00186</t>
  </si>
  <si>
    <t>ORD-00393</t>
  </si>
  <si>
    <t>ORD-00083</t>
  </si>
  <si>
    <t>CUST-1059</t>
  </si>
  <si>
    <t>ORD-00458</t>
  </si>
  <si>
    <t>ORD-00069</t>
  </si>
  <si>
    <t>CUST-1129</t>
  </si>
  <si>
    <t>ORD-00241</t>
  </si>
  <si>
    <t>CUST-1201</t>
  </si>
  <si>
    <t>ORD-00477</t>
  </si>
  <si>
    <t>ORD-00433</t>
  </si>
  <si>
    <t>ORD-00016</t>
  </si>
  <si>
    <t>ORD-00189</t>
  </si>
  <si>
    <t>CUST-1117</t>
  </si>
  <si>
    <t>ORD-00185</t>
  </si>
  <si>
    <t>CUST-1191</t>
  </si>
  <si>
    <t>ORD-00094</t>
  </si>
  <si>
    <t>ORD-00308</t>
  </si>
  <si>
    <t>CUST-1020</t>
  </si>
  <si>
    <t>ORD-00106</t>
  </si>
  <si>
    <t>CUST-1134</t>
  </si>
  <si>
    <t>ORD-00424</t>
  </si>
  <si>
    <t>CUST-1088</t>
  </si>
  <si>
    <t>ORD-00376</t>
  </si>
  <si>
    <t>CUST-1061</t>
  </si>
  <si>
    <t>ORD-00087</t>
  </si>
  <si>
    <t>CUST-1069</t>
  </si>
  <si>
    <t>ORD-00100</t>
  </si>
  <si>
    <t>CUST-1220</t>
  </si>
  <si>
    <t>ORD-00246</t>
  </si>
  <si>
    <t>CUST-1206</t>
  </si>
  <si>
    <t>ORD-00266</t>
  </si>
  <si>
    <t>ORD-00343</t>
  </si>
  <si>
    <t>CUST-1051</t>
  </si>
  <si>
    <t>ORD-00494</t>
  </si>
  <si>
    <t>CUST-1113</t>
  </si>
  <si>
    <t>ORD-00082</t>
  </si>
  <si>
    <t>CUST-1223</t>
  </si>
  <si>
    <t>ORD-00054</t>
  </si>
  <si>
    <t>ORD-00105</t>
  </si>
  <si>
    <t>CUST-1178</t>
  </si>
  <si>
    <t>ORD-00293</t>
  </si>
  <si>
    <t>ORD-00298</t>
  </si>
  <si>
    <t>ORD-00473</t>
  </si>
  <si>
    <t>CUST-1237</t>
  </si>
  <si>
    <t>ORD-00020</t>
  </si>
  <si>
    <t>ORD-00097</t>
  </si>
  <si>
    <t>CUST-1133</t>
  </si>
  <si>
    <t>ORD-00006</t>
  </si>
  <si>
    <t>ORD-00098</t>
  </si>
  <si>
    <t>ORD-00280</t>
  </si>
  <si>
    <t>ORD-00247</t>
  </si>
  <si>
    <t>ORD-00399</t>
  </si>
  <si>
    <t>CUST-1141</t>
  </si>
  <si>
    <t>ORD-00461</t>
  </si>
  <si>
    <t>CUST-1045</t>
  </si>
  <si>
    <t>ORD-00309</t>
  </si>
  <si>
    <t>CUST-1101</t>
  </si>
  <si>
    <t>ORD-00272</t>
  </si>
  <si>
    <t>CUST-1053</t>
  </si>
  <si>
    <t>ORD-00347</t>
  </si>
  <si>
    <t>CUST-1157</t>
  </si>
  <si>
    <t>ORD-00463</t>
  </si>
  <si>
    <t>CUST-1103</t>
  </si>
  <si>
    <t>ORD-00262</t>
  </si>
  <si>
    <t>CUST-1209</t>
  </si>
  <si>
    <t>ORD-00295</t>
  </si>
  <si>
    <t>ORD-00041</t>
  </si>
  <si>
    <t>CUST-1114</t>
  </si>
  <si>
    <t>ORD-00042</t>
  </si>
  <si>
    <t>ORD-00331</t>
  </si>
  <si>
    <t>CUST-1076</t>
  </si>
  <si>
    <t>ORD-00080</t>
  </si>
  <si>
    <t>ORD-00119</t>
  </si>
  <si>
    <t>CUST-1226</t>
  </si>
  <si>
    <t>ORD-00232</t>
  </si>
  <si>
    <t>CUST-1150</t>
  </si>
  <si>
    <t>ORD-00238</t>
  </si>
  <si>
    <t>CUST-1131</t>
  </si>
  <si>
    <t>ORD-00335</t>
  </si>
  <si>
    <t>CUST-1105</t>
  </si>
  <si>
    <t>ORD-00086</t>
  </si>
  <si>
    <t>CUST-1027</t>
  </si>
  <si>
    <t>ORD-00276</t>
  </si>
  <si>
    <t>CUST-1078</t>
  </si>
  <si>
    <t>ORD-00357</t>
  </si>
  <si>
    <t>CUST-1173</t>
  </si>
  <si>
    <t>ORD-00407</t>
  </si>
  <si>
    <t>CUST-1043</t>
  </si>
  <si>
    <t>ORD-00253</t>
  </si>
  <si>
    <t>ORD-00379</t>
  </si>
  <si>
    <t>ORD-00085</t>
  </si>
  <si>
    <t>CUST-1128</t>
  </si>
  <si>
    <t>ORD-00147</t>
  </si>
  <si>
    <t>ORD-00325</t>
  </si>
  <si>
    <t>ORD-00300</t>
  </si>
  <si>
    <t>ORD-00317</t>
  </si>
  <si>
    <t>ORD-00055</t>
  </si>
  <si>
    <t>ORD-00019</t>
  </si>
  <si>
    <t>CUST-1085</t>
  </si>
  <si>
    <t>ORD-00203</t>
  </si>
  <si>
    <t>CUST-1115</t>
  </si>
  <si>
    <t>ORD-00237</t>
  </si>
  <si>
    <t>CUST-1179</t>
  </si>
  <si>
    <t>ORD-00479</t>
  </si>
  <si>
    <t>CUST-1082</t>
  </si>
  <si>
    <t>ORD-00159</t>
  </si>
  <si>
    <t>ORD-00202</t>
  </si>
  <si>
    <t>CUST-1210</t>
  </si>
  <si>
    <t>ORD-00050</t>
  </si>
  <si>
    <t>ORD-00118</t>
  </si>
  <si>
    <t>ORD-00421</t>
  </si>
  <si>
    <t>CUST-1126</t>
  </si>
  <si>
    <t>ORD-00021</t>
  </si>
  <si>
    <t>CUST-1055</t>
  </si>
  <si>
    <t>ORD-00490</t>
  </si>
  <si>
    <t>CUST-1239</t>
  </si>
  <si>
    <t>ORD-00341</t>
  </si>
  <si>
    <t>CUST-1232</t>
  </si>
  <si>
    <t>ORD-00084</t>
  </si>
  <si>
    <t>ORD-00157</t>
  </si>
  <si>
    <t>ORD-00313</t>
  </si>
  <si>
    <t>ORD-00492</t>
  </si>
  <si>
    <t>CUST-1168</t>
  </si>
  <si>
    <t>ORD-00003</t>
  </si>
  <si>
    <t>CUST-1123</t>
  </si>
  <si>
    <t>ORD-00423</t>
  </si>
  <si>
    <t>CUST-1009</t>
  </si>
  <si>
    <t>ORD-00161</t>
  </si>
  <si>
    <t>CUST-1066</t>
  </si>
  <si>
    <t>ORD-00248</t>
  </si>
  <si>
    <t>CUST-1073</t>
  </si>
  <si>
    <t>ORD-00194</t>
  </si>
  <si>
    <t>CUST-1228</t>
  </si>
  <si>
    <t>ORD-00323</t>
  </si>
  <si>
    <t>CUST-1065</t>
  </si>
  <si>
    <t>ORD-00345</t>
  </si>
  <si>
    <t>ORD-00270</t>
  </si>
  <si>
    <t>ORD-00404</t>
  </si>
  <si>
    <t>ORD-00454</t>
  </si>
  <si>
    <t>ORD-00287</t>
  </si>
  <si>
    <t>CUST-1086</t>
  </si>
  <si>
    <t>ORD-00168</t>
  </si>
  <si>
    <t>CUST-1198</t>
  </si>
  <si>
    <t>ORD-00263</t>
  </si>
  <si>
    <t>ORD-00028</t>
  </si>
  <si>
    <t>ORD-00061</t>
  </si>
  <si>
    <t>ORD-00264</t>
  </si>
  <si>
    <t>ORD-00499</t>
  </si>
  <si>
    <t>ORD-00037</t>
  </si>
  <si>
    <t>ORD-00294</t>
  </si>
  <si>
    <t>CUST-1062</t>
  </si>
  <si>
    <t>ORD-00312</t>
  </si>
  <si>
    <t>ORD-00314</t>
  </si>
  <si>
    <t>ORD-00412</t>
  </si>
  <si>
    <t>CUST-1039</t>
  </si>
  <si>
    <t>ORD-00014</t>
  </si>
  <si>
    <t>CUST-1152</t>
  </si>
  <si>
    <t>ORD-00261</t>
  </si>
  <si>
    <t>ORD-00026</t>
  </si>
  <si>
    <t>ORD-00198</t>
  </si>
  <si>
    <t>CUST-1137</t>
  </si>
  <si>
    <t>ORD-00222</t>
  </si>
  <si>
    <t>ORD-00382</t>
  </si>
  <si>
    <t>ORD-00391</t>
  </si>
  <si>
    <t>ORD-00160</t>
  </si>
  <si>
    <t>ORD-00350</t>
  </si>
  <si>
    <t>ORD-00163</t>
  </si>
  <si>
    <t>ORD-00060</t>
  </si>
  <si>
    <t>CUST-1246</t>
  </si>
  <si>
    <t>ORD-00144</t>
  </si>
  <si>
    <t>CUST-1023</t>
  </si>
  <si>
    <t>ORD-00242</t>
  </si>
  <si>
    <t>CUST-1028</t>
  </si>
  <si>
    <t>ORD-00286</t>
  </si>
  <si>
    <t>ORD-00208</t>
  </si>
  <si>
    <t>CUST-1187</t>
  </si>
  <si>
    <t>ORD-00480</t>
  </si>
  <si>
    <t>CUST-1146</t>
  </si>
  <si>
    <t>ORD-00464</t>
  </si>
  <si>
    <t>ORD-00485</t>
  </si>
  <si>
    <t>CUST-1127</t>
  </si>
  <si>
    <t>ORD-00121</t>
  </si>
  <si>
    <t>ORD-00051</t>
  </si>
  <si>
    <t>CUST-1160</t>
  </si>
  <si>
    <t>ORD-00244</t>
  </si>
  <si>
    <t>ORD-00348</t>
  </si>
  <si>
    <t>ORD-00220</t>
  </si>
  <si>
    <t>ORD-00111</t>
  </si>
  <si>
    <t>ORD-00053</t>
  </si>
  <si>
    <t>ORD-00204</t>
  </si>
  <si>
    <t>ORD-00305</t>
  </si>
  <si>
    <t>CUST-1149</t>
  </si>
  <si>
    <t>ORD-00001</t>
  </si>
  <si>
    <t>ORD-00306</t>
  </si>
  <si>
    <t>ORD-00112</t>
  </si>
  <si>
    <t>CUST-1194</t>
  </si>
  <si>
    <t>ORD-00196</t>
  </si>
  <si>
    <t>ORD-00356</t>
  </si>
  <si>
    <t>ORD-00442</t>
  </si>
  <si>
    <t>ORD-00267</t>
  </si>
  <si>
    <t>ORD-00487</t>
  </si>
  <si>
    <t>ORD-00489</t>
  </si>
  <si>
    <t>ORD-00072</t>
  </si>
  <si>
    <t>ORD-00187</t>
  </si>
  <si>
    <t>ORD-00367</t>
  </si>
  <si>
    <t>ORD-00397</t>
  </si>
  <si>
    <t>CUST-1056</t>
  </si>
  <si>
    <t>ORD-00358</t>
  </si>
  <si>
    <t>ORD-00289</t>
  </si>
  <si>
    <t>ORD-00405</t>
  </si>
  <si>
    <t>ORD-00320</t>
  </si>
  <si>
    <t>ORD-00128</t>
  </si>
  <si>
    <t>ORD-00413</t>
  </si>
  <si>
    <t>ORD-00472</t>
  </si>
  <si>
    <t>CUST-1158</t>
  </si>
  <si>
    <t>ORD-00228</t>
  </si>
  <si>
    <t>CUST-1014</t>
  </si>
  <si>
    <t>ORD-00436</t>
  </si>
  <si>
    <t>ORD-00359</t>
  </si>
  <si>
    <t>ORD-00319</t>
  </si>
  <si>
    <t>ORD-00047</t>
  </si>
  <si>
    <t>ORD-00179</t>
  </si>
  <si>
    <t>ORD-00249</t>
  </si>
  <si>
    <t>ORD-00191</t>
  </si>
  <si>
    <t>ORD-00211</t>
  </si>
  <si>
    <t>ORD-00218</t>
  </si>
  <si>
    <t>ORD-00278</t>
  </si>
  <si>
    <t>ORD-00387</t>
  </si>
  <si>
    <t>CUST-1093</t>
  </si>
  <si>
    <t>ORD-00129</t>
  </si>
  <si>
    <t>ORD-00123</t>
  </si>
  <si>
    <t>ORD-00297</t>
  </si>
  <si>
    <t>ORD-00352</t>
  </si>
  <si>
    <t>CUST-1092</t>
  </si>
  <si>
    <t>ORD-00360</t>
  </si>
  <si>
    <t>CUST-1236</t>
  </si>
  <si>
    <t>ORD-00250</t>
  </si>
  <si>
    <t>ORD-00135</t>
  </si>
  <si>
    <t>CUST-1180</t>
  </si>
  <si>
    <t>ORD-00430</t>
  </si>
  <si>
    <t>ORD-00009</t>
  </si>
  <si>
    <t>ORD-00145</t>
  </si>
  <si>
    <t>ORD-00229</t>
  </si>
  <si>
    <t>CUST-1154</t>
  </si>
  <si>
    <t>ORD-00245</t>
  </si>
  <si>
    <t>CUST-1071</t>
  </si>
  <si>
    <t>ORD-00205</t>
  </si>
  <si>
    <t>ORD-00338</t>
  </si>
  <si>
    <t>ORD-00380</t>
  </si>
  <si>
    <t>ORD-00444</t>
  </si>
  <si>
    <t>ORD-00197</t>
  </si>
  <si>
    <t>ORD-00324</t>
  </si>
  <si>
    <t>ORD-00355</t>
  </si>
  <si>
    <t>ORD-00093</t>
  </si>
  <si>
    <t>ORD-00322</t>
  </si>
  <si>
    <t>CUST-1224</t>
  </si>
  <si>
    <t>ORD-00437</t>
  </si>
  <si>
    <t>ORD-00259</t>
  </si>
  <si>
    <t>ORD-00224</t>
  </si>
  <si>
    <t>ORD-00328</t>
  </si>
  <si>
    <t>ORD-00251</t>
  </si>
  <si>
    <t>CUST-1121</t>
  </si>
  <si>
    <t>ORD-00474</t>
  </si>
  <si>
    <t>ORD-00429</t>
  </si>
  <si>
    <t>ORD-00109</t>
  </si>
  <si>
    <t>ORD-00127</t>
  </si>
  <si>
    <t>ORD-00102</t>
  </si>
  <si>
    <t>ORD-00254</t>
  </si>
  <si>
    <t>CUST-1244</t>
  </si>
  <si>
    <t>ORD-00381</t>
  </si>
  <si>
    <t>ORD-00361</t>
  </si>
  <si>
    <t>ORD-00476</t>
  </si>
  <si>
    <t>CUST-1177</t>
  </si>
  <si>
    <t>ORD-00177</t>
  </si>
  <si>
    <t>ORD-00296</t>
  </si>
  <si>
    <t>ORD-00372</t>
  </si>
  <si>
    <t>ORD-00025</t>
  </si>
  <si>
    <t>ORD-00140</t>
  </si>
  <si>
    <t>ORD-00029</t>
  </si>
  <si>
    <t>CUST-1042</t>
  </si>
  <si>
    <t>ORD-00116</t>
  </si>
  <si>
    <t>ORD-00155</t>
  </si>
  <si>
    <t>CUST-1163</t>
  </si>
  <si>
    <t>ORD-00457</t>
  </si>
  <si>
    <t>ORD-00193</t>
  </si>
  <si>
    <t>ORD-00453</t>
  </si>
  <si>
    <t>ORD-00478</t>
  </si>
  <si>
    <t>ORD-00138</t>
  </si>
  <si>
    <t>ORD-00146</t>
  </si>
  <si>
    <t>ORD-00422</t>
  </si>
  <si>
    <t>CUST-1233</t>
  </si>
  <si>
    <t>ORD-00373</t>
  </si>
  <si>
    <t>ORD-00431</t>
  </si>
  <si>
    <t>ORD-00283</t>
  </si>
  <si>
    <t>CUST-1002</t>
  </si>
  <si>
    <t>ORD-00321</t>
  </si>
  <si>
    <t>ORD-00443</t>
  </si>
  <si>
    <t>ORD-00002</t>
  </si>
  <si>
    <t>ORD-00176</t>
  </si>
  <si>
    <t>ORD-00258</t>
  </si>
  <si>
    <t>ORD-00364</t>
  </si>
  <si>
    <t>ORD-00134</t>
  </si>
  <si>
    <t>ORD-00434</t>
  </si>
  <si>
    <t>ORD-00004</t>
  </si>
  <si>
    <t>ORD-00366</t>
  </si>
  <si>
    <t>ORD-00149</t>
  </si>
  <si>
    <t>ORD-00156</t>
  </si>
  <si>
    <t>CUST-1033</t>
  </si>
  <si>
    <t>ORD-00334</t>
  </si>
  <si>
    <t>CUST-1015</t>
  </si>
  <si>
    <t>ORD-00401</t>
  </si>
  <si>
    <t>ORD-00425</t>
  </si>
  <si>
    <t>CUST-1037</t>
  </si>
  <si>
    <t>ORD-00414</t>
  </si>
  <si>
    <t>ORD-00073</t>
  </si>
  <si>
    <t>ORD-00470</t>
  </si>
  <si>
    <t>ORD-00040</t>
  </si>
  <si>
    <t>ORD-00066</t>
  </si>
  <si>
    <t>ORD-00182</t>
  </si>
  <si>
    <t>ORD-00226</t>
  </si>
  <si>
    <t>ORD-00383</t>
  </si>
  <si>
    <t>ORD-00165</t>
  </si>
  <si>
    <t>ORD-00207</t>
  </si>
  <si>
    <t>CUST-1151</t>
  </si>
  <si>
    <t>ORD-00427</t>
  </si>
  <si>
    <t>ORD-00081</t>
  </si>
  <si>
    <t>CUST-1250</t>
  </si>
  <si>
    <t>ORD-00063</t>
  </si>
  <si>
    <t>ORD-00110</t>
  </si>
  <si>
    <t>ORD-00339</t>
  </si>
  <si>
    <t>ORD-00022</t>
  </si>
  <si>
    <t>ORD-00215</t>
  </si>
  <si>
    <t>CUST-1100</t>
  </si>
  <si>
    <t>ORD-00466</t>
  </si>
  <si>
    <t>ORD-00089</t>
  </si>
  <si>
    <t>ORD-00284</t>
  </si>
  <si>
    <t>ORD-00192</t>
  </si>
  <si>
    <t>ORD-00496</t>
  </si>
  <si>
    <t>ORD-00114</t>
  </si>
  <si>
    <t>CUST-1108</t>
  </si>
  <si>
    <t>ORD-00096</t>
  </si>
  <si>
    <t>ORD-00210</t>
  </si>
  <si>
    <t>CUST-1098</t>
  </si>
  <si>
    <t>ORD-00015</t>
  </si>
  <si>
    <t>ORD-00153</t>
  </si>
  <si>
    <t>ORD-00008</t>
  </si>
  <si>
    <t>ORD-00486</t>
  </si>
  <si>
    <t>ORD-00385</t>
  </si>
  <si>
    <t>CUST-1193</t>
  </si>
  <si>
    <t>ORD-00265</t>
  </si>
  <si>
    <t>CUST-1064</t>
  </si>
  <si>
    <t>ORD-00390</t>
  </si>
  <si>
    <t>ORD-00227</t>
  </si>
  <si>
    <t>ORD-00122</t>
  </si>
  <si>
    <t>ORD-00172</t>
  </si>
  <si>
    <t>ORD-00462</t>
  </si>
  <si>
    <t>ORD-00214</t>
  </si>
  <si>
    <t>ORD-00371</t>
  </si>
  <si>
    <t>ORD-00449</t>
  </si>
  <si>
    <t>ORD-00017</t>
  </si>
  <si>
    <t>ORD-00046</t>
  </si>
  <si>
    <t>ORD-00415</t>
  </si>
  <si>
    <t>ORD-00133</t>
  </si>
  <si>
    <t>ORD-00377</t>
  </si>
  <si>
    <t>ORD-00103</t>
  </si>
  <si>
    <t>CUST-1116</t>
  </si>
  <si>
    <t>ORD-00143</t>
  </si>
  <si>
    <t>ORD-00281</t>
  </si>
  <si>
    <t>ORD-00445</t>
  </si>
  <si>
    <t>ORD-00024</t>
  </si>
  <si>
    <t>ORD-00279</t>
  </si>
  <si>
    <t>ORD-00175</t>
  </si>
  <si>
    <t>ORD-00316</t>
  </si>
  <si>
    <t>ORD-00368</t>
  </si>
  <si>
    <t>ORD-00435</t>
  </si>
  <si>
    <t>ORD-00059</t>
  </si>
  <si>
    <t>ORD-00329</t>
  </si>
  <si>
    <t>ORD-00032</t>
  </si>
  <si>
    <t>ORD-00426</t>
  </si>
  <si>
    <t>ORD-00446</t>
  </si>
  <si>
    <t>ORD-00079</t>
  </si>
  <si>
    <t>ORD-00452</t>
  </si>
  <si>
    <t>ORD-00078</t>
  </si>
  <si>
    <t>ORD-00395</t>
  </si>
  <si>
    <t>ORD-00307</t>
  </si>
  <si>
    <t>CUST-1048</t>
  </si>
  <si>
    <t>ORD-00370</t>
  </si>
  <si>
    <t>ORD-00035</t>
  </si>
  <si>
    <t>CUST-1007</t>
  </si>
  <si>
    <t>ORD-00432</t>
  </si>
  <si>
    <t>ORD-00056</t>
  </si>
  <si>
    <t>ORD-00188</t>
  </si>
  <si>
    <t>CUST-1057</t>
  </si>
  <si>
    <t>ORD-00389</t>
  </si>
  <si>
    <t>CUST-1241</t>
  </si>
  <si>
    <t>ORD-00034</t>
  </si>
  <si>
    <t>CUST-1130</t>
  </si>
  <si>
    <t>ORD-00349</t>
  </si>
  <si>
    <t>CUST-1132</t>
  </si>
  <si>
    <t>ORD-00301</t>
  </si>
  <si>
    <t>ORD-00315</t>
  </si>
  <si>
    <t>ORD-00500</t>
  </si>
  <si>
    <t>ORD-00095</t>
  </si>
  <si>
    <t>ORD-00088</t>
  </si>
  <si>
    <t>ORD-00039</t>
  </si>
  <si>
    <t>CUST-1003</t>
  </si>
  <si>
    <t>ORD-00274</t>
  </si>
  <si>
    <t>ORD-00045</t>
  </si>
  <si>
    <t>ORD-00005</t>
  </si>
  <si>
    <t>CUST-1171</t>
  </si>
  <si>
    <t>ORD-00012</t>
  </si>
  <si>
    <t>CUST-1074</t>
  </si>
  <si>
    <t>ORD-00166</t>
  </si>
  <si>
    <t>ORD-00141</t>
  </si>
  <si>
    <t>CUST-1058</t>
  </si>
  <si>
    <t>ORD-00150</t>
  </si>
  <si>
    <t>ORD-00062</t>
  </si>
  <si>
    <t>CUST-1032</t>
  </si>
  <si>
    <t>ORD-00277</t>
  </si>
  <si>
    <t>ORD-00169</t>
  </si>
  <si>
    <t>ORD-00337</t>
  </si>
  <si>
    <t>CUST-1026</t>
  </si>
  <si>
    <t>ORD-00465</t>
  </si>
  <si>
    <t>ORD-00252</t>
  </si>
  <si>
    <t>ORD-00450</t>
  </si>
  <si>
    <t>ORD-00455</t>
  </si>
  <si>
    <t>ORD-00154</t>
  </si>
  <si>
    <t>ORD-00481</t>
  </si>
  <si>
    <t>ORD-00180</t>
  </si>
  <si>
    <t>CUST-1186</t>
  </si>
  <si>
    <t>ORD-00448</t>
  </si>
  <si>
    <t>ORD-00231</t>
  </si>
  <si>
    <t>ORD-00271</t>
  </si>
  <si>
    <t>CUST-1203</t>
  </si>
  <si>
    <t>ORD-00158</t>
  </si>
  <si>
    <t>CUST-1125</t>
  </si>
  <si>
    <t>ORD-00467</t>
  </si>
  <si>
    <t>ORD-00130</t>
  </si>
  <si>
    <t>ORD-00384</t>
  </si>
  <si>
    <t>ORD-00438</t>
  </si>
  <si>
    <t>ORD-00018</t>
  </si>
  <si>
    <t>CUST-1229</t>
  </si>
  <si>
    <t>ORD-00048</t>
  </si>
  <si>
    <t>ORD-00058</t>
  </si>
  <si>
    <t>ORD-00219</t>
  </si>
  <si>
    <t>ORD-00275</t>
  </si>
  <si>
    <t>ORD-00388</t>
  </si>
  <si>
    <t>ORD-00092</t>
  </si>
  <si>
    <t>ORD-00290</t>
  </si>
  <si>
    <t>ORD-00451</t>
  </si>
  <si>
    <t>ORD-00304</t>
  </si>
  <si>
    <t>ORD-00344</t>
  </si>
  <si>
    <t>ORD-00417</t>
  </si>
  <si>
    <t>ORD-00115</t>
  </si>
  <si>
    <t>ORD-00075</t>
  </si>
  <si>
    <t>ORD-00398</t>
  </si>
  <si>
    <t>ORD-00488</t>
  </si>
  <si>
    <t>ORD-00044</t>
  </si>
  <si>
    <t>ORD-00031</t>
  </si>
  <si>
    <t>ORD-00077</t>
  </si>
  <si>
    <t>ORD-00212</t>
  </si>
  <si>
    <t>ORD-00136</t>
  </si>
  <si>
    <t>CUST-1034</t>
  </si>
  <si>
    <t>ORD-00195</t>
  </si>
  <si>
    <t>CUST-1204</t>
  </si>
  <si>
    <t>ORD-00353</t>
  </si>
  <si>
    <t>ORD-00340</t>
  </si>
  <si>
    <t>ORD-00400</t>
  </si>
  <si>
    <t>ORD-00013</t>
  </si>
  <si>
    <t>ORD-00484</t>
  </si>
  <si>
    <t>ORD-00213</t>
  </si>
  <si>
    <t>ORD-00302</t>
  </si>
  <si>
    <t>ORD-00285</t>
  </si>
  <si>
    <t>ORD-00074</t>
  </si>
  <si>
    <t>ORD-00273</t>
  </si>
  <si>
    <t>ORD-00374</t>
  </si>
  <si>
    <t>Metric</t>
  </si>
  <si>
    <t>Value</t>
  </si>
  <si>
    <t>Total Revenue</t>
  </si>
  <si>
    <t>Total Cost</t>
  </si>
  <si>
    <t>Total Profit</t>
  </si>
  <si>
    <t>Total Units Sold</t>
  </si>
  <si>
    <t>Number of Orders</t>
  </si>
  <si>
    <t>Average Order Value</t>
  </si>
  <si>
    <t>Overall Profit Margin</t>
  </si>
  <si>
    <t>1. The Dataset contains 500 orders</t>
  </si>
  <si>
    <t>2. Those orders generated 680,363.20 in revenue.</t>
  </si>
  <si>
    <t>3. Total cost was 429,297.00.</t>
  </si>
  <si>
    <t>4. The resulting profit was 251,066.20.</t>
  </si>
  <si>
    <t>5. Customers purchased 2,710 units</t>
  </si>
  <si>
    <t>6. Average revenue per order was 1,360.73</t>
  </si>
  <si>
    <t>7. Overall profit margin was 36.90%</t>
  </si>
  <si>
    <t xml:space="preserve">Product Performance </t>
  </si>
  <si>
    <t>Product Analysis Table</t>
  </si>
  <si>
    <t>Profit Margin</t>
  </si>
  <si>
    <t>Sum of Revenue</t>
  </si>
  <si>
    <t>Sum of Profit</t>
  </si>
  <si>
    <t>Overall</t>
  </si>
  <si>
    <t>Total Result</t>
  </si>
  <si>
    <t>Category Performance</t>
  </si>
  <si>
    <t>Category Analysis Table</t>
  </si>
  <si>
    <t>Sum of Quantity</t>
  </si>
  <si>
    <t>Grand Total</t>
  </si>
  <si>
    <t>Regional Analysis Table</t>
  </si>
  <si>
    <t>Regional Performance</t>
  </si>
  <si>
    <t>Sales Person Analysis Table</t>
  </si>
  <si>
    <t>Salesperson Performance</t>
  </si>
  <si>
    <t>Row Labels</t>
  </si>
  <si>
    <t>Monthly Sale Trend</t>
  </si>
  <si>
    <t>Monthly Sales Trend</t>
  </si>
  <si>
    <t>2025</t>
  </si>
  <si>
    <t>Jan</t>
  </si>
  <si>
    <t>Month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</si>
  <si>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</si>
  <si>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</si>
  <si>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</si>
  <si>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</si>
  <si>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</si>
  <si>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</si>
  <si>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</si>
  <si>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</si>
  <si>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</si>
  <si>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</si>
  <si>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</si>
  <si>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Check</t>
  </si>
  <si>
    <t>Expected Result</t>
  </si>
  <si>
    <t>Actual Result</t>
  </si>
  <si>
    <t>Status</t>
  </si>
  <si>
    <t>Notes</t>
  </si>
  <si>
    <t>Record Count</t>
  </si>
  <si>
    <t>PASS</t>
  </si>
  <si>
    <t>500 sales records identified</t>
  </si>
  <si>
    <t>Column Count</t>
  </si>
  <si>
    <t>All expected fields are present</t>
  </si>
  <si>
    <t>Date Range</t>
  </si>
  <si>
    <t>Jan 1- Dec 31-2025</t>
  </si>
  <si>
    <t>Jan 1–Dec 31, 2025</t>
  </si>
  <si>
    <t>Dates cover the expected 2025 period</t>
  </si>
  <si>
    <t>Positive</t>
  </si>
  <si>
    <t>Min = 1, Max = 10, Zero/negative = 0</t>
  </si>
  <si>
    <t>All quantities are within the expected range</t>
  </si>
  <si>
    <t>Unit Price</t>
  </si>
  <si>
    <t>Min = 35, Max = 850, Zero/negative = 0</t>
  </si>
  <si>
    <t>All unit prices are positive</t>
  </si>
  <si>
    <t>0–15%</t>
  </si>
  <si>
    <t>Min = 0%, Max = 15%, Zero count = 154, Out-of-range = 0</t>
  </si>
  <si>
    <t>All discount values are within the expected 0–15% range.</t>
  </si>
  <si>
    <t>Non-negative</t>
  </si>
  <si>
    <t>Min = 29.75; Negative values = 0</t>
  </si>
  <si>
    <t>All revenue values are non-negative</t>
  </si>
  <si>
    <t>Min = 18; Negative values = 0</t>
  </si>
  <si>
    <t>All cost values are non-negative</t>
  </si>
  <si>
    <t>Revenue − Cost</t>
  </si>
  <si>
    <t>0 mismatches</t>
  </si>
  <si>
    <t>Profit reconciles with Revenue minus Cost for all 500 records</t>
  </si>
  <si>
    <t>Profit ÷ Revenue</t>
  </si>
  <si>
    <t>Profit Margin reconciles for all 500 records</t>
  </si>
  <si>
    <t>SALES PERFORMANCE DASHBOARD</t>
  </si>
  <si>
    <t>2025 Sales Analysis</t>
  </si>
  <si>
    <t>TOTAL  REVENUE</t>
  </si>
  <si>
    <t>TOTAL  PROFIT</t>
  </si>
  <si>
    <t>UNITS  SOLD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</si>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</sst>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_(* #,##0.00_);_(* \(#,##0.00\);_(* \-??_);_(@_)"/>
    <numFmt numFmtId="166" formatCode="_-* #,##0.00_-;\-* #,##0.00_-;_-* \-??_-;_-@_-"/>
    <numFmt numFmtId="167" formatCode="_-* #,##0_-;\-* #,##0_-;_-* \-??_-;_-@_-"/>
  </numFmts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8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79989013336588644"/>
        <bgColor rgb="FFD9D9D9"/>
      </patternFill>
    </fill>
    <fill>
      <patternFill patternType="solid">
        <fgColor theme="3" tint="0.59987182226020086"/>
        <bgColor rgb="FF9999FF"/>
      </patternFill>
    </fill>
    <fill>
      <patternFill patternType="solid">
        <fgColor theme="6" tint="0.79989013336588644"/>
        <bgColor rgb="FFDCE6F2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165" fontId="4" fillId="0" borderId="0"/>
    <xf numFmtId="9" fontId="4" fillId="0" borderId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>
      <alignment horizontal="left"/>
    </xf>
    <xf numFmtId="0" fontId="4" fillId="0" borderId="0" applyBorder="0" applyProtection="0"/>
    <xf numFmtId="0" fontId="1" fillId="0" borderId="0" applyBorder="0" applyProtection="0">
      <alignment horizontal="left"/>
    </xf>
    <xf numFmtId="0" fontId="1" fillId="0" borderId="0" applyBorder="0" applyProtection="0"/>
  </cellStyleXfs>
  <cellXfs count="85">
    <xf numFmtId="0" fontId="0" fillId="0" borderId="0" xfId="0"/>
    <xf numFmtId="0" fontId="1" fillId="4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 vertical="center"/>
    </xf>
    <xf numFmtId="0" fontId="0" fillId="0" borderId="0" xfId="0" applyFont="1"/>
    <xf numFmtId="0" fontId="2" fillId="0" borderId="1" xfId="0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 wrapText="1"/>
    </xf>
    <xf numFmtId="4" fontId="1" fillId="0" borderId="0" xfId="0" applyNumberFormat="1" applyFont="1" applyAlignment="1">
      <alignment horizontal="right" vertical="center" wrapText="1"/>
    </xf>
    <xf numFmtId="10" fontId="1" fillId="0" borderId="0" xfId="2" applyNumberFormat="1" applyFont="1" applyAlignment="1">
      <alignment vertical="center"/>
    </xf>
    <xf numFmtId="164" fontId="0" fillId="0" borderId="0" xfId="0" applyNumberFormat="1" applyFont="1"/>
    <xf numFmtId="3" fontId="0" fillId="0" borderId="0" xfId="0" applyNumberFormat="1" applyFont="1" applyAlignment="1">
      <alignment horizontal="right" vertical="center" wrapText="1"/>
    </xf>
    <xf numFmtId="4" fontId="0" fillId="0" borderId="0" xfId="0" applyNumberFormat="1" applyFont="1" applyAlignment="1">
      <alignment horizontal="right" vertical="center" wrapText="1"/>
    </xf>
    <xf numFmtId="10" fontId="0" fillId="0" borderId="0" xfId="2" applyNumberFormat="1" applyFont="1"/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166" fontId="0" fillId="0" borderId="0" xfId="1" applyNumberFormat="1" applyFont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167" fontId="0" fillId="0" borderId="0" xfId="1" applyNumberFormat="1" applyFont="1" applyAlignment="1">
      <alignment vertical="center" wrapText="1"/>
    </xf>
    <xf numFmtId="10" fontId="0" fillId="0" borderId="0" xfId="2" applyNumberFormat="1" applyFont="1" applyAlignment="1">
      <alignment vertical="center" wrapText="1"/>
    </xf>
    <xf numFmtId="0" fontId="0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0" fillId="0" borderId="2" xfId="6" applyFont="1" applyBorder="1"/>
    <xf numFmtId="0" fontId="0" fillId="0" borderId="3" xfId="5" applyFont="1" applyBorder="1">
      <alignment horizontal="left"/>
    </xf>
    <xf numFmtId="0" fontId="0" fillId="0" borderId="4" xfId="5" applyFont="1" applyBorder="1">
      <alignment horizontal="left"/>
    </xf>
    <xf numFmtId="0" fontId="1" fillId="2" borderId="0" xfId="0" applyFont="1" applyFill="1"/>
    <xf numFmtId="10" fontId="0" fillId="0" borderId="0" xfId="0" applyNumberFormat="1" applyFont="1" applyAlignment="1">
      <alignment horizontal="right" vertical="center" wrapText="1"/>
    </xf>
    <xf numFmtId="0" fontId="0" fillId="0" borderId="5" xfId="5" applyFont="1" applyBorder="1">
      <alignment horizontal="left"/>
    </xf>
    <xf numFmtId="4" fontId="4" fillId="0" borderId="6" xfId="4" applyNumberFormat="1" applyBorder="1"/>
    <xf numFmtId="4" fontId="4" fillId="0" borderId="7" xfId="4" applyNumberFormat="1" applyBorder="1"/>
    <xf numFmtId="0" fontId="0" fillId="0" borderId="8" xfId="5" applyFont="1" applyBorder="1">
      <alignment horizontal="left"/>
    </xf>
    <xf numFmtId="4" fontId="4" fillId="0" borderId="9" xfId="4" applyNumberFormat="1" applyBorder="1"/>
    <xf numFmtId="4" fontId="4" fillId="0" borderId="10" xfId="4" applyNumberFormat="1" applyBorder="1"/>
    <xf numFmtId="4" fontId="4" fillId="0" borderId="11" xfId="4" applyNumberFormat="1" applyBorder="1"/>
    <xf numFmtId="4" fontId="4" fillId="0" borderId="12" xfId="4" applyNumberFormat="1" applyBorder="1"/>
    <xf numFmtId="0" fontId="1" fillId="2" borderId="0" xfId="0" applyFont="1" applyFill="1" applyAlignment="1">
      <alignment vertical="center" wrapText="1"/>
    </xf>
    <xf numFmtId="4" fontId="1" fillId="2" borderId="0" xfId="0" applyNumberFormat="1" applyFont="1" applyFill="1" applyAlignment="1">
      <alignment horizontal="right" vertical="center" wrapText="1"/>
    </xf>
    <xf numFmtId="10" fontId="1" fillId="2" borderId="0" xfId="0" applyNumberFormat="1" applyFont="1" applyFill="1" applyAlignment="1">
      <alignment horizontal="right" vertical="center" wrapText="1"/>
    </xf>
    <xf numFmtId="0" fontId="1" fillId="0" borderId="13" xfId="7" applyFont="1" applyBorder="1">
      <alignment horizontal="left"/>
    </xf>
    <xf numFmtId="4" fontId="1" fillId="0" borderId="14" xfId="8" applyNumberFormat="1" applyBorder="1"/>
    <xf numFmtId="4" fontId="1" fillId="0" borderId="15" xfId="8" applyNumberFormat="1" applyBorder="1"/>
    <xf numFmtId="10" fontId="1" fillId="2" borderId="0" xfId="2" applyNumberFormat="1" applyFont="1" applyFill="1"/>
    <xf numFmtId="0" fontId="1" fillId="0" borderId="0" xfId="0" applyFont="1"/>
    <xf numFmtId="0" fontId="0" fillId="0" borderId="16" xfId="5" applyFont="1" applyBorder="1">
      <alignment horizontal="left"/>
    </xf>
    <xf numFmtId="10" fontId="1" fillId="0" borderId="0" xfId="0" applyNumberFormat="1" applyFont="1" applyAlignment="1">
      <alignment horizontal="right" vertical="center" wrapText="1"/>
    </xf>
    <xf numFmtId="4" fontId="4" fillId="0" borderId="17" xfId="4" applyNumberFormat="1" applyBorder="1"/>
    <xf numFmtId="3" fontId="4" fillId="0" borderId="7" xfId="4" applyNumberFormat="1" applyBorder="1"/>
    <xf numFmtId="0" fontId="0" fillId="0" borderId="0" xfId="0" applyFont="1" applyAlignment="1">
      <alignment horizontal="right" vertical="center" wrapText="1"/>
    </xf>
    <xf numFmtId="4" fontId="4" fillId="0" borderId="0" xfId="4" applyNumberFormat="1"/>
    <xf numFmtId="3" fontId="4" fillId="0" borderId="10" xfId="4" applyNumberFormat="1" applyBorder="1"/>
    <xf numFmtId="4" fontId="4" fillId="0" borderId="18" xfId="4" applyNumberFormat="1" applyBorder="1"/>
    <xf numFmtId="3" fontId="4" fillId="0" borderId="12" xfId="4" applyNumberFormat="1" applyBorder="1"/>
    <xf numFmtId="0" fontId="1" fillId="2" borderId="0" xfId="0" applyFont="1" applyFill="1" applyAlignment="1">
      <alignment horizontal="left" vertical="center" wrapText="1"/>
    </xf>
    <xf numFmtId="4" fontId="1" fillId="2" borderId="0" xfId="0" applyNumberFormat="1" applyFont="1" applyFill="1" applyAlignment="1">
      <alignment horizontal="left" vertical="center" wrapText="1"/>
    </xf>
    <xf numFmtId="3" fontId="1" fillId="2" borderId="0" xfId="0" applyNumberFormat="1" applyFont="1" applyFill="1" applyAlignment="1">
      <alignment horizontal="left" vertical="center" wrapText="1"/>
    </xf>
    <xf numFmtId="10" fontId="1" fillId="2" borderId="0" xfId="0" applyNumberFormat="1" applyFont="1" applyFill="1" applyAlignment="1">
      <alignment horizontal="left" vertical="center" wrapText="1"/>
    </xf>
    <xf numFmtId="0" fontId="0" fillId="0" borderId="0" xfId="0" applyFont="1" applyAlignment="1">
      <alignment horizontal="left"/>
    </xf>
    <xf numFmtId="4" fontId="1" fillId="0" borderId="19" xfId="8" applyNumberFormat="1" applyBorder="1"/>
    <xf numFmtId="3" fontId="1" fillId="0" borderId="15" xfId="8" applyNumberFormat="1" applyBorder="1"/>
    <xf numFmtId="10" fontId="1" fillId="2" borderId="0" xfId="2" applyNumberFormat="1" applyFont="1" applyFill="1" applyAlignment="1">
      <alignment horizontal="left" vertical="center"/>
    </xf>
    <xf numFmtId="0" fontId="0" fillId="0" borderId="0" xfId="0" applyFont="1" applyAlignment="1">
      <alignment horizontal="center"/>
    </xf>
    <xf numFmtId="10" fontId="1" fillId="0" borderId="0" xfId="2" applyNumberFormat="1" applyFont="1" applyAlignment="1">
      <alignment horizontal="left"/>
    </xf>
    <xf numFmtId="10" fontId="0" fillId="0" borderId="0" xfId="2" applyNumberFormat="1" applyFont="1" applyAlignment="1">
      <alignment horizontal="left"/>
    </xf>
    <xf numFmtId="164" fontId="0" fillId="0" borderId="5" xfId="5" applyNumberFormat="1" applyFont="1" applyBorder="1" applyAlignment="1">
      <alignment horizontal="left" indent="1"/>
    </xf>
    <xf numFmtId="4" fontId="4" fillId="0" borderId="20" xfId="4" applyNumberFormat="1" applyBorder="1"/>
    <xf numFmtId="164" fontId="0" fillId="0" borderId="8" xfId="5" applyNumberFormat="1" applyFont="1" applyBorder="1" applyAlignment="1">
      <alignment horizontal="left" indent="1"/>
    </xf>
    <xf numFmtId="4" fontId="4" fillId="0" borderId="21" xfId="4" applyNumberFormat="1" applyBorder="1"/>
    <xf numFmtId="0" fontId="1" fillId="0" borderId="0" xfId="0" applyFont="1" applyAlignment="1">
      <alignment horizontal="right" vertical="center" wrapText="1"/>
    </xf>
    <xf numFmtId="164" fontId="0" fillId="0" borderId="22" xfId="5" applyNumberFormat="1" applyFont="1" applyBorder="1" applyAlignment="1">
      <alignment horizontal="left" indent="1"/>
    </xf>
    <xf numFmtId="4" fontId="4" fillId="0" borderId="23" xfId="4" applyNumberFormat="1" applyBorder="1"/>
    <xf numFmtId="164" fontId="1" fillId="0" borderId="13" xfId="7" applyNumberFormat="1" applyFont="1" applyBorder="1">
      <alignment horizontal="left"/>
    </xf>
    <xf numFmtId="10" fontId="0" fillId="2" borderId="0" xfId="2" applyNumberFormat="1" applyFont="1" applyFill="1"/>
    <xf numFmtId="0" fontId="1" fillId="3" borderId="0" xfId="0" applyFont="1" applyFill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166" fontId="3" fillId="4" borderId="1" xfId="1" applyNumberFormat="1" applyFont="1" applyFill="1" applyBorder="1" applyAlignment="1">
      <alignment horizontal="center"/>
    </xf>
    <xf numFmtId="167" fontId="3" fillId="4" borderId="1" xfId="1" applyNumberFormat="1" applyFont="1" applyFill="1" applyBorder="1" applyAlignment="1">
      <alignment horizontal="center"/>
    </xf>
    <xf numFmtId="10" fontId="3" fillId="4" borderId="1" xfId="0" applyNumberFormat="1" applyFont="1" applyFill="1" applyBorder="1" applyAlignment="1">
      <alignment horizontal="center"/>
    </xf>
  </cellXfs>
  <cellStyles count="9">
    <cellStyle name="Comma" xfId="1" builtinId="3"/>
    <cellStyle name="Normal" xfId="0" builtinId="0"/>
    <cellStyle name="Percent" xfId="2" builtinId="5"/>
    <cellStyle name="Pivot Table Category" xfId="5" xr:uid="{00000000-0005-0000-0000-000008000000}"/>
    <cellStyle name="Pivot Table Corner" xfId="3" xr:uid="{00000000-0005-0000-0000-000006000000}"/>
    <cellStyle name="Pivot Table Field" xfId="6" xr:uid="{00000000-0005-0000-0000-000009000000}"/>
    <cellStyle name="Pivot Table Result" xfId="8" xr:uid="{00000000-0005-0000-0000-00000B000000}"/>
    <cellStyle name="Pivot Table Title" xfId="7" xr:uid="{00000000-0005-0000-0000-00000A000000}"/>
    <cellStyle name="Pivot Table Value" xfId="4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EBF1DE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100" b="1" u="none" strike="noStrike">
                <a:solidFill>
                  <a:srgbClr val="3A3A3A"/>
                </a:solidFill>
                <a:uFillTx/>
                <a:latin typeface="Calibri"/>
              </a:rPr>
              <a:t>Revenue by Category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endParaRPr lang="en-US"/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0719311962471"/>
          <c:y val="0.233840811965812"/>
          <c:w val="0.84589523064894501"/>
          <c:h val="0.552751068376068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'Revenue by Category'!$C$22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by Category'!$D$21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'Revenue by Category'!$D$22</c:f>
              <c:numCache>
                <c:formatCode>#,##0.00</c:formatCode>
                <c:ptCount val="1"/>
                <c:pt idx="0">
                  <c:v>64582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8-4D34-9A10-EDFA980B8553}"/>
            </c:ext>
          </c:extLst>
        </c:ser>
        <c:ser>
          <c:idx val="1"/>
          <c:order val="1"/>
          <c:tx>
            <c:strRef>
              <c:f>'Revenue by Category'!$C$23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by Category'!$D$21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'Revenue by Category'!$D$23</c:f>
              <c:numCache>
                <c:formatCode>#,##0.00</c:formatCode>
                <c:ptCount val="1"/>
                <c:pt idx="0">
                  <c:v>391768.5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E8-4D34-9A10-EDFA980B8553}"/>
            </c:ext>
          </c:extLst>
        </c:ser>
        <c:ser>
          <c:idx val="2"/>
          <c:order val="2"/>
          <c:tx>
            <c:strRef>
              <c:f>'Revenue by Category'!$C$24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by Category'!$D$21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'Revenue by Category'!$D$24</c:f>
              <c:numCache>
                <c:formatCode>#,##0.00</c:formatCode>
                <c:ptCount val="1"/>
                <c:pt idx="0">
                  <c:v>167323.20000000001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E8-4D34-9A10-EDFA980B8553}"/>
            </c:ext>
          </c:extLst>
        </c:ser>
        <c:ser>
          <c:idx val="3"/>
          <c:order val="3"/>
          <c:tx>
            <c:strRef>
              <c:f>'Revenue by Category'!$C$25</c:f>
              <c:strCache>
                <c:ptCount val="1"/>
                <c:pt idx="0">
                  <c:v>Office Equipment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by Category'!$D$21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'Revenue by Category'!$D$25</c:f>
              <c:numCache>
                <c:formatCode>#,##0.00</c:formatCode>
                <c:ptCount val="1"/>
                <c:pt idx="0">
                  <c:v>56689.5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E8-4D34-9A10-EDFA980B8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293663"/>
        <c:axId val="81442865"/>
      </c:barChart>
      <c:catAx>
        <c:axId val="80293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1442865"/>
        <c:crosses val="autoZero"/>
        <c:auto val="1"/>
        <c:lblAlgn val="ctr"/>
        <c:lblOffset val="100"/>
        <c:noMultiLvlLbl val="0"/>
      </c:catAx>
      <c:valAx>
        <c:axId val="8144286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802936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100" b="1" u="none" strike="noStrike" spc="119">
                <a:solidFill>
                  <a:srgbClr val="595959"/>
                </a:solidFill>
                <a:uFillTx/>
                <a:latin typeface="Calibri"/>
              </a:rPr>
              <a:t>Monthly Revenue Trend - 2025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179925714779299"/>
          <c:y val="0.12791783380018701"/>
          <c:w val="0.76410123520773998"/>
          <c:h val="0.72949179671868802"/>
        </c:manualLayout>
      </c:layout>
      <c:lineChart>
        <c:grouping val="standard"/>
        <c:varyColors val="0"/>
        <c:ser>
          <c:idx val="0"/>
          <c:order val="0"/>
          <c:tx>
            <c:strRef>
              <c:f>'Monthly Revenue'!$C$22</c:f>
              <c:strCache>
                <c:ptCount val="1"/>
                <c:pt idx="0">
                  <c:v>Revenue</c:v>
                </c:pt>
              </c:strCache>
            </c:strRef>
          </c:tx>
          <c:spPr>
            <a:ln w="22320" cap="rnd">
              <a:solidFill>
                <a:srgbClr val="4BACC6"/>
              </a:solidFill>
              <a:round/>
            </a:ln>
          </c:spPr>
          <c:marker>
            <c:symbol val="diamond"/>
            <c:size val="6"/>
            <c:spPr>
              <a:solidFill>
                <a:srgbClr val="4BACC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23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'Monthly Revenue'!$B$23:$B$34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Revenue'!$C$23:$C$34</c:f>
              <c:numCache>
                <c:formatCode>#,##0.00</c:formatCode>
                <c:ptCount val="12"/>
                <c:pt idx="0">
                  <c:v>37598.449999999997</c:v>
                </c:pt>
                <c:pt idx="1">
                  <c:v>57939.1</c:v>
                </c:pt>
                <c:pt idx="2">
                  <c:v>52832.35</c:v>
                </c:pt>
                <c:pt idx="3">
                  <c:v>51742.25</c:v>
                </c:pt>
                <c:pt idx="4">
                  <c:v>48148</c:v>
                </c:pt>
                <c:pt idx="5">
                  <c:v>69846.100000000006</c:v>
                </c:pt>
                <c:pt idx="6">
                  <c:v>40244.35</c:v>
                </c:pt>
                <c:pt idx="7">
                  <c:v>68994.75</c:v>
                </c:pt>
                <c:pt idx="8">
                  <c:v>82880.95</c:v>
                </c:pt>
                <c:pt idx="9">
                  <c:v>44639.1</c:v>
                </c:pt>
                <c:pt idx="10">
                  <c:v>62686.15</c:v>
                </c:pt>
                <c:pt idx="11">
                  <c:v>62811.65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D6-4615-B9B2-D9E4474FD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5015936"/>
        <c:axId val="12839149"/>
      </c:lineChart>
      <c:catAx>
        <c:axId val="75015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800" b="0" u="none" strike="noStrike" spc="119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12839149"/>
        <c:crossesAt val="0"/>
        <c:auto val="1"/>
        <c:lblAlgn val="ctr"/>
        <c:lblOffset val="100"/>
        <c:noMultiLvlLbl val="0"/>
      </c:catAx>
      <c:valAx>
        <c:axId val="1283914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750159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100" b="1" u="none" strike="noStrike">
                <a:solidFill>
                  <a:srgbClr val="595959"/>
                </a:solidFill>
                <a:uFillTx/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135133953935598E-2"/>
          <c:y val="0.15960533952408601"/>
          <c:w val="0.91036230933962703"/>
          <c:h val="0.631456761462565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'Regional Revenue'!$B$21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Revenue'!$C$20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'Regional Revenue'!$C$21</c:f>
              <c:numCache>
                <c:formatCode>#,##0.00</c:formatCode>
                <c:ptCount val="1"/>
                <c:pt idx="0">
                  <c:v>202585.5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5-4212-B73C-E6342A448ABE}"/>
            </c:ext>
          </c:extLst>
        </c:ser>
        <c:ser>
          <c:idx val="1"/>
          <c:order val="1"/>
          <c:tx>
            <c:strRef>
              <c:f>'Regional Revenue'!$B$22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Revenue'!$C$20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'Regional Revenue'!$C$22</c:f>
              <c:numCache>
                <c:formatCode>#,##0.00</c:formatCode>
                <c:ptCount val="1"/>
                <c:pt idx="0">
                  <c:v>146616.35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45-4212-B73C-E6342A448ABE}"/>
            </c:ext>
          </c:extLst>
        </c:ser>
        <c:ser>
          <c:idx val="2"/>
          <c:order val="2"/>
          <c:tx>
            <c:strRef>
              <c:f>'Regional Revenue'!$B$23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Revenue'!$C$20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'Regional Revenue'!$C$23</c:f>
              <c:numCache>
                <c:formatCode>#,##0.00</c:formatCode>
                <c:ptCount val="1"/>
                <c:pt idx="0">
                  <c:v>180766.1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45-4212-B73C-E6342A448ABE}"/>
            </c:ext>
          </c:extLst>
        </c:ser>
        <c:ser>
          <c:idx val="3"/>
          <c:order val="3"/>
          <c:tx>
            <c:strRef>
              <c:f>'Regional Revenue'!$B$24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Revenue'!$C$20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'Regional Revenue'!$C$24</c:f>
              <c:numCache>
                <c:formatCode>#,##0.00</c:formatCode>
                <c:ptCount val="1"/>
                <c:pt idx="0">
                  <c:v>150395.25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45-4212-B73C-E6342A448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628380"/>
        <c:axId val="90671911"/>
      </c:barChart>
      <c:catAx>
        <c:axId val="966283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0671911"/>
        <c:crosses val="autoZero"/>
        <c:auto val="1"/>
        <c:lblAlgn val="ctr"/>
        <c:lblOffset val="100"/>
        <c:noMultiLvlLbl val="0"/>
      </c:catAx>
      <c:valAx>
        <c:axId val="9067191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966283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100" b="1" u="none" strike="noStrike">
                <a:solidFill>
                  <a:srgbClr val="3A3A3A"/>
                </a:solidFill>
                <a:uFillTx/>
                <a:latin typeface="Calibri"/>
              </a:rPr>
              <a:t>Revenue by Category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endParaRPr lang="en-US"/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0719311962471"/>
          <c:y val="0.233840811965812"/>
          <c:w val="0.84589523064894501"/>
          <c:h val="0.552751068376068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'Revenue by Category'!$C$22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by Category'!$D$21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'Revenue by Category'!$D$22</c:f>
              <c:numCache>
                <c:formatCode>#,##0.00</c:formatCode>
                <c:ptCount val="1"/>
                <c:pt idx="0">
                  <c:v>64582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7-4FA5-A016-EB6061EDE386}"/>
            </c:ext>
          </c:extLst>
        </c:ser>
        <c:ser>
          <c:idx val="1"/>
          <c:order val="1"/>
          <c:tx>
            <c:strRef>
              <c:f>'Revenue by Category'!$C$23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by Category'!$D$21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'Revenue by Category'!$D$23</c:f>
              <c:numCache>
                <c:formatCode>#,##0.00</c:formatCode>
                <c:ptCount val="1"/>
                <c:pt idx="0">
                  <c:v>391768.5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27-4FA5-A016-EB6061EDE386}"/>
            </c:ext>
          </c:extLst>
        </c:ser>
        <c:ser>
          <c:idx val="2"/>
          <c:order val="2"/>
          <c:tx>
            <c:strRef>
              <c:f>'Revenue by Category'!$C$24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by Category'!$D$21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'Revenue by Category'!$D$24</c:f>
              <c:numCache>
                <c:formatCode>#,##0.00</c:formatCode>
                <c:ptCount val="1"/>
                <c:pt idx="0">
                  <c:v>167323.20000000001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27-4FA5-A016-EB6061EDE386}"/>
            </c:ext>
          </c:extLst>
        </c:ser>
        <c:ser>
          <c:idx val="3"/>
          <c:order val="3"/>
          <c:tx>
            <c:strRef>
              <c:f>'Revenue by Category'!$C$25</c:f>
              <c:strCache>
                <c:ptCount val="1"/>
                <c:pt idx="0">
                  <c:v>Office Equipment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by Category'!$D$21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'Revenue by Category'!$D$25</c:f>
              <c:numCache>
                <c:formatCode>#,##0.00</c:formatCode>
                <c:ptCount val="1"/>
                <c:pt idx="0">
                  <c:v>56689.5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27-4FA5-A016-EB6061EDE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293663"/>
        <c:axId val="81442865"/>
      </c:barChart>
      <c:catAx>
        <c:axId val="80293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1442865"/>
        <c:crosses val="autoZero"/>
        <c:auto val="1"/>
        <c:lblAlgn val="ctr"/>
        <c:lblOffset val="100"/>
        <c:noMultiLvlLbl val="0"/>
      </c:catAx>
      <c:valAx>
        <c:axId val="8144286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802936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100" b="1" u="none" strike="noStrike">
                <a:solidFill>
                  <a:srgbClr val="595959"/>
                </a:solidFill>
                <a:uFillTx/>
                <a:latin typeface="Calibri"/>
              </a:rPr>
              <a:t>Revenue by Region</a:t>
            </a:r>
          </a:p>
        </c:rich>
      </c:tx>
      <c:layout>
        <c:manualLayout>
          <c:xMode val="edge"/>
          <c:yMode val="edge"/>
          <c:x val="0.38349211307199799"/>
          <c:y val="2.7781487912381501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Revenue'!$B$21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Revenue'!$C$20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'Regional Revenue'!$C$21</c:f>
              <c:numCache>
                <c:formatCode>#,##0.00</c:formatCode>
                <c:ptCount val="1"/>
                <c:pt idx="0">
                  <c:v>202585.5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8-41E9-BF5C-F3977B6FF696}"/>
            </c:ext>
          </c:extLst>
        </c:ser>
        <c:ser>
          <c:idx val="1"/>
          <c:order val="1"/>
          <c:tx>
            <c:strRef>
              <c:f>'Regional Revenue'!$B$22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Revenue'!$C$20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'Regional Revenue'!$C$22</c:f>
              <c:numCache>
                <c:formatCode>#,##0.00</c:formatCode>
                <c:ptCount val="1"/>
                <c:pt idx="0">
                  <c:v>146616.35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A8-41E9-BF5C-F3977B6FF696}"/>
            </c:ext>
          </c:extLst>
        </c:ser>
        <c:ser>
          <c:idx val="2"/>
          <c:order val="2"/>
          <c:tx>
            <c:strRef>
              <c:f>'Regional Revenue'!$B$23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Revenue'!$C$20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'Regional Revenue'!$C$23</c:f>
              <c:numCache>
                <c:formatCode>#,##0.00</c:formatCode>
                <c:ptCount val="1"/>
                <c:pt idx="0">
                  <c:v>180766.1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A8-41E9-BF5C-F3977B6FF696}"/>
            </c:ext>
          </c:extLst>
        </c:ser>
        <c:ser>
          <c:idx val="3"/>
          <c:order val="3"/>
          <c:tx>
            <c:strRef>
              <c:f>'Regional Revenue'!$B$24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Revenue'!$C$20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'Regional Revenue'!$C$24</c:f>
              <c:numCache>
                <c:formatCode>#,##0.00</c:formatCode>
                <c:ptCount val="1"/>
                <c:pt idx="0">
                  <c:v>150395.25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A8-41E9-BF5C-F3977B6FF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388050"/>
        <c:axId val="56172207"/>
      </c:barChart>
      <c:catAx>
        <c:axId val="9238805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172207"/>
        <c:crosses val="autoZero"/>
        <c:auto val="1"/>
        <c:lblAlgn val="ctr"/>
        <c:lblOffset val="100"/>
        <c:noMultiLvlLbl val="0"/>
      </c:catAx>
      <c:valAx>
        <c:axId val="5617220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9238805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100" b="1" u="none" strike="noStrike" spc="119">
                <a:solidFill>
                  <a:srgbClr val="3A3A3A"/>
                </a:solidFill>
                <a:uFillTx/>
                <a:latin typeface="Calibri"/>
              </a:rPr>
              <a:t>Monthly Revenue Trend —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Revenue'!$C$22</c:f>
              <c:strCache>
                <c:ptCount val="1"/>
                <c:pt idx="0">
                  <c:v>Revenue</c:v>
                </c:pt>
              </c:strCache>
            </c:strRef>
          </c:tx>
          <c:spPr>
            <a:ln w="22320" cap="rnd">
              <a:solidFill>
                <a:srgbClr val="4BACC6"/>
              </a:solidFill>
              <a:round/>
            </a:ln>
          </c:spPr>
          <c:marker>
            <c:symbol val="diamond"/>
            <c:size val="6"/>
            <c:spPr>
              <a:solidFill>
                <a:srgbClr val="4BACC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23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'Monthly Revenue'!$B$23:$B$34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Revenue'!$C$23:$C$34</c:f>
              <c:numCache>
                <c:formatCode>#,##0.00</c:formatCode>
                <c:ptCount val="12"/>
                <c:pt idx="0">
                  <c:v>37598.449999999997</c:v>
                </c:pt>
                <c:pt idx="1">
                  <c:v>57939.1</c:v>
                </c:pt>
                <c:pt idx="2">
                  <c:v>52832.35</c:v>
                </c:pt>
                <c:pt idx="3">
                  <c:v>51742.25</c:v>
                </c:pt>
                <c:pt idx="4">
                  <c:v>48148</c:v>
                </c:pt>
                <c:pt idx="5">
                  <c:v>69846.100000000006</c:v>
                </c:pt>
                <c:pt idx="6">
                  <c:v>40244.35</c:v>
                </c:pt>
                <c:pt idx="7">
                  <c:v>68994.75</c:v>
                </c:pt>
                <c:pt idx="8">
                  <c:v>82880.95</c:v>
                </c:pt>
                <c:pt idx="9">
                  <c:v>44639.1</c:v>
                </c:pt>
                <c:pt idx="10">
                  <c:v>62686.15</c:v>
                </c:pt>
                <c:pt idx="11">
                  <c:v>62811.65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A7-423A-852B-C69755A4C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0160274"/>
        <c:axId val="55107346"/>
      </c:lineChart>
      <c:catAx>
        <c:axId val="601602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800" b="0" u="none" strike="noStrike" spc="119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55107346"/>
        <c:crosses val="autoZero"/>
        <c:auto val="1"/>
        <c:lblAlgn val="ctr"/>
        <c:lblOffset val="100"/>
        <c:noMultiLvlLbl val="0"/>
      </c:catAx>
      <c:valAx>
        <c:axId val="5510734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601602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15840</xdr:colOff>
      <xdr:row>2</xdr:row>
      <xdr:rowOff>104760</xdr:rowOff>
    </xdr:from>
    <xdr:to>
      <xdr:col>6</xdr:col>
      <xdr:colOff>1006200</xdr:colOff>
      <xdr:row>17</xdr:row>
      <xdr:rowOff>85320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25560</xdr:colOff>
      <xdr:row>7</xdr:row>
      <xdr:rowOff>12600</xdr:rowOff>
    </xdr:from>
    <xdr:to>
      <xdr:col>3</xdr:col>
      <xdr:colOff>438120</xdr:colOff>
      <xdr:row>21</xdr:row>
      <xdr:rowOff>177480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21240</xdr:colOff>
      <xdr:row>22</xdr:row>
      <xdr:rowOff>28080</xdr:rowOff>
    </xdr:from>
    <xdr:to>
      <xdr:col>8</xdr:col>
      <xdr:colOff>599400</xdr:colOff>
      <xdr:row>35</xdr:row>
      <xdr:rowOff>156240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468923</xdr:colOff>
      <xdr:row>7</xdr:row>
      <xdr:rowOff>19539</xdr:rowOff>
    </xdr:from>
    <xdr:to>
      <xdr:col>8</xdr:col>
      <xdr:colOff>595923</xdr:colOff>
      <xdr:row>22</xdr:row>
      <xdr:rowOff>9769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050913-AB6C-4C15-9A90-EDB9FF03E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314280</xdr:colOff>
      <xdr:row>1</xdr:row>
      <xdr:rowOff>85680</xdr:rowOff>
    </xdr:from>
    <xdr:to>
      <xdr:col>5</xdr:col>
      <xdr:colOff>720360</xdr:colOff>
      <xdr:row>16</xdr:row>
      <xdr:rowOff>66240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863280</xdr:colOff>
      <xdr:row>15</xdr:row>
      <xdr:rowOff>180360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IDAY%20ONYOLU/Desktop/Users/FRIDAY%20ONYOLU/Desktop/WORKSTATION/Data_Analysis,%20Data_Entry%20Portfolio/Project%2003%20-%20Sales%20Performance%20&amp;%20Business%20Insights/sales_performance_ra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_Sales_Data"/>
      <sheetName val="Sales Analysis"/>
      <sheetName val="Product Analysis"/>
      <sheetName val="Data_inspectation"/>
      <sheetName val=" Revenue by Category"/>
      <sheetName val="Dashboard"/>
      <sheetName val="Regional Revenue"/>
      <sheetName val="Monthly Reven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500" xr:uid="{00000000-000A-0000-FFFF-FFFF01000000}">
  <cacheSource type="worksheet">
    <worksheetSource ref="A1:N501" sheet="Raw_Sales_Data"/>
  </cacheSource>
  <cacheFields count="15">
    <cacheField name="Order_ID" numFmtId="0">
      <sharedItems count="500">
        <s v="ORD-00001"/>
        <s v="ORD-00002"/>
        <s v="ORD-00003"/>
        <s v="ORD-00004"/>
        <s v="ORD-00005"/>
        <s v="ORD-00006"/>
        <s v="ORD-00007"/>
        <s v="ORD-00008"/>
        <s v="ORD-00009"/>
        <s v="ORD-00010"/>
        <s v="ORD-00011"/>
        <s v="ORD-00012"/>
        <s v="ORD-00013"/>
        <s v="ORD-00014"/>
        <s v="ORD-00015"/>
        <s v="ORD-00016"/>
        <s v="ORD-00017"/>
        <s v="ORD-00018"/>
        <s v="ORD-00019"/>
        <s v="ORD-00020"/>
        <s v="ORD-00021"/>
        <s v="ORD-00022"/>
        <s v="ORD-00023"/>
        <s v="ORD-00024"/>
        <s v="ORD-00025"/>
        <s v="ORD-00026"/>
        <s v="ORD-00027"/>
        <s v="ORD-00028"/>
        <s v="ORD-00029"/>
        <s v="ORD-00030"/>
        <s v="ORD-00031"/>
        <s v="ORD-00032"/>
        <s v="ORD-00033"/>
        <s v="ORD-00034"/>
        <s v="ORD-00035"/>
        <s v="ORD-00036"/>
        <s v="ORD-00037"/>
        <s v="ORD-00038"/>
        <s v="ORD-00039"/>
        <s v="ORD-00040"/>
        <s v="ORD-00041"/>
        <s v="ORD-00042"/>
        <s v="ORD-00043"/>
        <s v="ORD-00044"/>
        <s v="ORD-00045"/>
        <s v="ORD-00046"/>
        <s v="ORD-00047"/>
        <s v="ORD-00048"/>
        <s v="ORD-00049"/>
        <s v="ORD-00050"/>
        <s v="ORD-00051"/>
        <s v="ORD-00052"/>
        <s v="ORD-00053"/>
        <s v="ORD-00054"/>
        <s v="ORD-00055"/>
        <s v="ORD-00056"/>
        <s v="ORD-00057"/>
        <s v="ORD-00058"/>
        <s v="ORD-00059"/>
        <s v="ORD-00060"/>
        <s v="ORD-00061"/>
        <s v="ORD-00062"/>
        <s v="ORD-00063"/>
        <s v="ORD-00064"/>
        <s v="ORD-00065"/>
        <s v="ORD-00066"/>
        <s v="ORD-00067"/>
        <s v="ORD-00068"/>
        <s v="ORD-00069"/>
        <s v="ORD-00070"/>
        <s v="ORD-00071"/>
        <s v="ORD-00072"/>
        <s v="ORD-00073"/>
        <s v="ORD-00074"/>
        <s v="ORD-00075"/>
        <s v="ORD-00076"/>
        <s v="ORD-00077"/>
        <s v="ORD-00078"/>
        <s v="ORD-00079"/>
        <s v="ORD-00080"/>
        <s v="ORD-00081"/>
        <s v="ORD-00082"/>
        <s v="ORD-00083"/>
        <s v="ORD-00084"/>
        <s v="ORD-00085"/>
        <s v="ORD-00086"/>
        <s v="ORD-00087"/>
        <s v="ORD-00088"/>
        <s v="ORD-00089"/>
        <s v="ORD-00090"/>
        <s v="ORD-00091"/>
        <s v="ORD-00092"/>
        <s v="ORD-00093"/>
        <s v="ORD-00094"/>
        <s v="ORD-00095"/>
        <s v="ORD-00096"/>
        <s v="ORD-00097"/>
        <s v="ORD-00098"/>
        <s v="ORD-00099"/>
        <s v="ORD-00100"/>
        <s v="ORD-00101"/>
        <s v="ORD-00102"/>
        <s v="ORD-00103"/>
        <s v="ORD-00104"/>
        <s v="ORD-00105"/>
        <s v="ORD-00106"/>
        <s v="ORD-00107"/>
        <s v="ORD-00108"/>
        <s v="ORD-00109"/>
        <s v="ORD-00110"/>
        <s v="ORD-00111"/>
        <s v="ORD-00112"/>
        <s v="ORD-00113"/>
        <s v="ORD-00114"/>
        <s v="ORD-00115"/>
        <s v="ORD-00116"/>
        <s v="ORD-00117"/>
        <s v="ORD-00118"/>
        <s v="ORD-00119"/>
        <s v="ORD-00120"/>
        <s v="ORD-00121"/>
        <s v="ORD-00122"/>
        <s v="ORD-00123"/>
        <s v="ORD-00124"/>
        <s v="ORD-00125"/>
        <s v="ORD-00126"/>
        <s v="ORD-00127"/>
        <s v="ORD-00128"/>
        <s v="ORD-00129"/>
        <s v="ORD-00130"/>
        <s v="ORD-00131"/>
        <s v="ORD-00132"/>
        <s v="ORD-00133"/>
        <s v="ORD-00134"/>
        <s v="ORD-00135"/>
        <s v="ORD-00136"/>
        <s v="ORD-00137"/>
        <s v="ORD-00138"/>
        <s v="ORD-00139"/>
        <s v="ORD-00140"/>
        <s v="ORD-00141"/>
        <s v="ORD-00142"/>
        <s v="ORD-00143"/>
        <s v="ORD-00144"/>
        <s v="ORD-00145"/>
        <s v="ORD-00146"/>
        <s v="ORD-00147"/>
        <s v="ORD-00148"/>
        <s v="ORD-00149"/>
        <s v="ORD-00150"/>
        <s v="ORD-00151"/>
        <s v="ORD-00152"/>
        <s v="ORD-00153"/>
        <s v="ORD-00154"/>
        <s v="ORD-00155"/>
        <s v="ORD-00156"/>
        <s v="ORD-00157"/>
        <s v="ORD-00158"/>
        <s v="ORD-00159"/>
        <s v="ORD-00160"/>
        <s v="ORD-00161"/>
        <s v="ORD-00162"/>
        <s v="ORD-00163"/>
        <s v="ORD-00164"/>
        <s v="ORD-00165"/>
        <s v="ORD-00166"/>
        <s v="ORD-00167"/>
        <s v="ORD-00168"/>
        <s v="ORD-00169"/>
        <s v="ORD-00170"/>
        <s v="ORD-00171"/>
        <s v="ORD-00172"/>
        <s v="ORD-00173"/>
        <s v="ORD-00174"/>
        <s v="ORD-00175"/>
        <s v="ORD-00176"/>
        <s v="ORD-00177"/>
        <s v="ORD-00178"/>
        <s v="ORD-00179"/>
        <s v="ORD-00180"/>
        <s v="ORD-00181"/>
        <s v="ORD-00182"/>
        <s v="ORD-00183"/>
        <s v="ORD-00184"/>
        <s v="ORD-00185"/>
        <s v="ORD-00186"/>
        <s v="ORD-00187"/>
        <s v="ORD-00188"/>
        <s v="ORD-00189"/>
        <s v="ORD-00190"/>
        <s v="ORD-00191"/>
        <s v="ORD-00192"/>
        <s v="ORD-00193"/>
        <s v="ORD-00194"/>
        <s v="ORD-00195"/>
        <s v="ORD-00196"/>
        <s v="ORD-00197"/>
        <s v="ORD-00198"/>
        <s v="ORD-00199"/>
        <s v="ORD-00200"/>
        <s v="ORD-00201"/>
        <s v="ORD-00202"/>
        <s v="ORD-00203"/>
        <s v="ORD-00204"/>
        <s v="ORD-00205"/>
        <s v="ORD-00206"/>
        <s v="ORD-00207"/>
        <s v="ORD-00208"/>
        <s v="ORD-00209"/>
        <s v="ORD-00210"/>
        <s v="ORD-00211"/>
        <s v="ORD-00212"/>
        <s v="ORD-00213"/>
        <s v="ORD-00214"/>
        <s v="ORD-00215"/>
        <s v="ORD-00216"/>
        <s v="ORD-00217"/>
        <s v="ORD-00218"/>
        <s v="ORD-00219"/>
        <s v="ORD-00220"/>
        <s v="ORD-00221"/>
        <s v="ORD-00222"/>
        <s v="ORD-00223"/>
        <s v="ORD-00224"/>
        <s v="ORD-00225"/>
        <s v="ORD-00226"/>
        <s v="ORD-00227"/>
        <s v="ORD-00228"/>
        <s v="ORD-00229"/>
        <s v="ORD-00230"/>
        <s v="ORD-00231"/>
        <s v="ORD-00232"/>
        <s v="ORD-00233"/>
        <s v="ORD-00234"/>
        <s v="ORD-00235"/>
        <s v="ORD-00236"/>
        <s v="ORD-00237"/>
        <s v="ORD-00238"/>
        <s v="ORD-00239"/>
        <s v="ORD-00240"/>
        <s v="ORD-00241"/>
        <s v="ORD-00242"/>
        <s v="ORD-00243"/>
        <s v="ORD-00244"/>
        <s v="ORD-00245"/>
        <s v="ORD-00246"/>
        <s v="ORD-00247"/>
        <s v="ORD-00248"/>
        <s v="ORD-00249"/>
        <s v="ORD-00250"/>
        <s v="ORD-00251"/>
        <s v="ORD-00252"/>
        <s v="ORD-00253"/>
        <s v="ORD-00254"/>
        <s v="ORD-00255"/>
        <s v="ORD-00256"/>
        <s v="ORD-00257"/>
        <s v="ORD-00258"/>
        <s v="ORD-00259"/>
        <s v="ORD-00260"/>
        <s v="ORD-00261"/>
        <s v="ORD-00262"/>
        <s v="ORD-00263"/>
        <s v="ORD-00264"/>
        <s v="ORD-00265"/>
        <s v="ORD-00266"/>
        <s v="ORD-00267"/>
        <s v="ORD-00268"/>
        <s v="ORD-00269"/>
        <s v="ORD-00270"/>
        <s v="ORD-00271"/>
        <s v="ORD-00272"/>
        <s v="ORD-00273"/>
        <s v="ORD-00274"/>
        <s v="ORD-00275"/>
        <s v="ORD-00276"/>
        <s v="ORD-00277"/>
        <s v="ORD-00278"/>
        <s v="ORD-00279"/>
        <s v="ORD-00280"/>
        <s v="ORD-00281"/>
        <s v="ORD-00282"/>
        <s v="ORD-00283"/>
        <s v="ORD-00284"/>
        <s v="ORD-00285"/>
        <s v="ORD-00286"/>
        <s v="ORD-00287"/>
        <s v="ORD-00288"/>
        <s v="ORD-00289"/>
        <s v="ORD-00290"/>
        <s v="ORD-00291"/>
        <s v="ORD-00292"/>
        <s v="ORD-00293"/>
        <s v="ORD-00294"/>
        <s v="ORD-00295"/>
        <s v="ORD-00296"/>
        <s v="ORD-00297"/>
        <s v="ORD-00298"/>
        <s v="ORD-00299"/>
        <s v="ORD-00300"/>
        <s v="ORD-00301"/>
        <s v="ORD-00302"/>
        <s v="ORD-00303"/>
        <s v="ORD-00304"/>
        <s v="ORD-00305"/>
        <s v="ORD-00306"/>
        <s v="ORD-00307"/>
        <s v="ORD-00308"/>
        <s v="ORD-00309"/>
        <s v="ORD-00310"/>
        <s v="ORD-00311"/>
        <s v="ORD-00312"/>
        <s v="ORD-00313"/>
        <s v="ORD-00314"/>
        <s v="ORD-00315"/>
        <s v="ORD-00316"/>
        <s v="ORD-00317"/>
        <s v="ORD-00318"/>
        <s v="ORD-00319"/>
        <s v="ORD-00320"/>
        <s v="ORD-00321"/>
        <s v="ORD-00322"/>
        <s v="ORD-00323"/>
        <s v="ORD-00324"/>
        <s v="ORD-00325"/>
        <s v="ORD-00326"/>
        <s v="ORD-00327"/>
        <s v="ORD-00328"/>
        <s v="ORD-00329"/>
        <s v="ORD-00330"/>
        <s v="ORD-00331"/>
        <s v="ORD-00332"/>
        <s v="ORD-00333"/>
        <s v="ORD-00334"/>
        <s v="ORD-00335"/>
        <s v="ORD-00336"/>
        <s v="ORD-00337"/>
        <s v="ORD-00338"/>
        <s v="ORD-00339"/>
        <s v="ORD-00340"/>
        <s v="ORD-00341"/>
        <s v="ORD-00342"/>
        <s v="ORD-00343"/>
        <s v="ORD-00344"/>
        <s v="ORD-00345"/>
        <s v="ORD-00346"/>
        <s v="ORD-00347"/>
        <s v="ORD-00348"/>
        <s v="ORD-00349"/>
        <s v="ORD-00350"/>
        <s v="ORD-00351"/>
        <s v="ORD-00352"/>
        <s v="ORD-00353"/>
        <s v="ORD-00354"/>
        <s v="ORD-00355"/>
        <s v="ORD-00356"/>
        <s v="ORD-00357"/>
        <s v="ORD-00358"/>
        <s v="ORD-00359"/>
        <s v="ORD-00360"/>
        <s v="ORD-00361"/>
        <s v="ORD-00362"/>
        <s v="ORD-00363"/>
        <s v="ORD-00364"/>
        <s v="ORD-00365"/>
        <s v="ORD-00366"/>
        <s v="ORD-00367"/>
        <s v="ORD-00368"/>
        <s v="ORD-00369"/>
        <s v="ORD-00370"/>
        <s v="ORD-00371"/>
        <s v="ORD-00372"/>
        <s v="ORD-00373"/>
        <s v="ORD-00374"/>
        <s v="ORD-00375"/>
        <s v="ORD-00376"/>
        <s v="ORD-00377"/>
        <s v="ORD-00378"/>
        <s v="ORD-00379"/>
        <s v="ORD-00380"/>
        <s v="ORD-00381"/>
        <s v="ORD-00382"/>
        <s v="ORD-00383"/>
        <s v="ORD-00384"/>
        <s v="ORD-00385"/>
        <s v="ORD-00386"/>
        <s v="ORD-00387"/>
        <s v="ORD-00388"/>
        <s v="ORD-00389"/>
        <s v="ORD-00390"/>
        <s v="ORD-00391"/>
        <s v="ORD-00392"/>
        <s v="ORD-00393"/>
        <s v="ORD-00394"/>
        <s v="ORD-00395"/>
        <s v="ORD-00396"/>
        <s v="ORD-00397"/>
        <s v="ORD-00398"/>
        <s v="ORD-00399"/>
        <s v="ORD-00400"/>
        <s v="ORD-00401"/>
        <s v="ORD-00402"/>
        <s v="ORD-00403"/>
        <s v="ORD-00404"/>
        <s v="ORD-00405"/>
        <s v="ORD-00406"/>
        <s v="ORD-00407"/>
        <s v="ORD-00408"/>
        <s v="ORD-00409"/>
        <s v="ORD-00410"/>
        <s v="ORD-00411"/>
        <s v="ORD-00412"/>
        <s v="ORD-00413"/>
        <s v="ORD-00414"/>
        <s v="ORD-00415"/>
        <s v="ORD-00416"/>
        <s v="ORD-00417"/>
        <s v="ORD-00418"/>
        <s v="ORD-00419"/>
        <s v="ORD-00420"/>
        <s v="ORD-00421"/>
        <s v="ORD-00422"/>
        <s v="ORD-00423"/>
        <s v="ORD-00424"/>
        <s v="ORD-00425"/>
        <s v="ORD-00426"/>
        <s v="ORD-00427"/>
        <s v="ORD-00428"/>
        <s v="ORD-00429"/>
        <s v="ORD-00430"/>
        <s v="ORD-00431"/>
        <s v="ORD-00432"/>
        <s v="ORD-00433"/>
        <s v="ORD-00434"/>
        <s v="ORD-00435"/>
        <s v="ORD-00436"/>
        <s v="ORD-00437"/>
        <s v="ORD-00438"/>
        <s v="ORD-00439"/>
        <s v="ORD-00440"/>
        <s v="ORD-00441"/>
        <s v="ORD-00442"/>
        <s v="ORD-00443"/>
        <s v="ORD-00444"/>
        <s v="ORD-00445"/>
        <s v="ORD-00446"/>
        <s v="ORD-00447"/>
        <s v="ORD-00448"/>
        <s v="ORD-00449"/>
        <s v="ORD-00450"/>
        <s v="ORD-00451"/>
        <s v="ORD-00452"/>
        <s v="ORD-00453"/>
        <s v="ORD-00454"/>
        <s v="ORD-00455"/>
        <s v="ORD-00456"/>
        <s v="ORD-00457"/>
        <s v="ORD-00458"/>
        <s v="ORD-00459"/>
        <s v="ORD-00460"/>
        <s v="ORD-00461"/>
        <s v="ORD-00462"/>
        <s v="ORD-00463"/>
        <s v="ORD-00464"/>
        <s v="ORD-00465"/>
        <s v="ORD-00466"/>
        <s v="ORD-00467"/>
        <s v="ORD-00468"/>
        <s v="ORD-00469"/>
        <s v="ORD-00470"/>
        <s v="ORD-00471"/>
        <s v="ORD-00472"/>
        <s v="ORD-00473"/>
        <s v="ORD-00474"/>
        <s v="ORD-00475"/>
        <s v="ORD-00476"/>
        <s v="ORD-00477"/>
        <s v="ORD-00478"/>
        <s v="ORD-00479"/>
        <s v="ORD-00480"/>
        <s v="ORD-00481"/>
        <s v="ORD-00482"/>
        <s v="ORD-00483"/>
        <s v="ORD-00484"/>
        <s v="ORD-00485"/>
        <s v="ORD-00486"/>
        <s v="ORD-00487"/>
        <s v="ORD-00488"/>
        <s v="ORD-00489"/>
        <s v="ORD-00490"/>
        <s v="ORD-00491"/>
        <s v="ORD-00492"/>
        <s v="ORD-00493"/>
        <s v="ORD-00494"/>
        <s v="ORD-00495"/>
        <s v="ORD-00496"/>
        <s v="ORD-00497"/>
        <s v="ORD-00498"/>
        <s v="ORD-00499"/>
        <s v="ORD-00500"/>
      </sharedItems>
    </cacheField>
    <cacheField name="Order_Date" numFmtId="0">
      <sharedItems containsSemiMixedTypes="0" containsNonDate="0" containsDate="1" containsString="0" minDate="2025-01-01T00:00:00" maxDate="2025-12-31T00:00:00" count="263">
        <d v="2025-01-01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2T00:00:00"/>
        <d v="2025-01-13T00:00:00"/>
        <d v="2025-01-14T00:00:00"/>
        <d v="2025-01-16T00:00:00"/>
        <d v="2025-01-18T00:00:00"/>
        <d v="2025-01-19T00:00:00"/>
        <d v="2025-01-20T00:00:00"/>
        <d v="2025-01-23T00:00:00"/>
        <d v="2025-01-25T00:00:00"/>
        <d v="2025-01-26T00:00:00"/>
        <d v="2025-01-28T00:00:00"/>
        <d v="2025-01-29T00:00:00"/>
        <d v="2025-01-30T00:00:00"/>
        <d v="2025-02-02T00:00:00"/>
        <d v="2025-02-03T00:00:00"/>
        <d v="2025-02-04T00:00:00"/>
        <d v="2025-02-05T00:00:00"/>
        <d v="2025-02-06T00:00:00"/>
        <d v="2025-02-08T00:00:00"/>
        <d v="2025-02-10T00:00:00"/>
        <d v="2025-02-11T00:00:00"/>
        <d v="2025-02-12T00:00:00"/>
        <d v="2025-02-13T00:00:00"/>
        <d v="2025-02-15T00:00:00"/>
        <d v="2025-02-16T00:00:00"/>
        <d v="2025-02-17T00:00:00"/>
        <d v="2025-02-20T00:00:00"/>
        <d v="2025-02-21T00:00:00"/>
        <d v="2025-02-22T00:00:00"/>
        <d v="2025-02-23T00:00:00"/>
        <d v="2025-02-26T00:00:00"/>
        <d v="2025-02-27T00:00:00"/>
        <d v="2025-03-01T00:00:00"/>
        <d v="2025-03-02T00:00:00"/>
        <d v="2025-03-03T00:00:00"/>
        <d v="2025-03-04T00:00:00"/>
        <d v="2025-03-06T00:00:00"/>
        <d v="2025-03-07T00:00:00"/>
        <d v="2025-03-10T00:00:00"/>
        <d v="2025-03-11T00:00:00"/>
        <d v="2025-03-13T00:00:00"/>
        <d v="2025-03-15T00:00:00"/>
        <d v="2025-03-16T00:00:00"/>
        <d v="2025-03-17T00:00:00"/>
        <d v="2025-03-19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8T00:00:00"/>
        <d v="2025-04-09T00:00:00"/>
        <d v="2025-04-10T00:00:00"/>
        <d v="2025-04-11T00:00:00"/>
        <d v="2025-04-13T00:00:00"/>
        <d v="2025-04-14T00:00:00"/>
        <d v="2025-04-15T00:00:00"/>
        <d v="2025-04-16T00:00:00"/>
        <d v="2025-04-18T00:00:00"/>
        <d v="2025-04-19T00:00:00"/>
        <d v="2025-04-21T00:00:00"/>
        <d v="2025-04-22T00:00:00"/>
        <d v="2025-04-24T00:00:00"/>
        <d v="2025-04-25T00:00:00"/>
        <d v="2025-04-27T00:00:00"/>
        <d v="2025-04-28T00:00:00"/>
        <d v="2025-04-29T00:00:00"/>
        <d v="2025-04-30T00:00:00"/>
        <d v="2025-05-02T00:00:00"/>
        <d v="2025-05-04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6T00:00:00"/>
        <d v="2025-05-18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9T00:00:00"/>
        <d v="2025-06-22T00:00:00"/>
        <d v="2025-06-23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8T00:00:00"/>
        <d v="2025-07-09T00:00:00"/>
        <d v="2025-07-10T00:00:00"/>
        <d v="2025-07-11T00:00:00"/>
        <d v="2025-07-13T00:00:00"/>
        <d v="2025-07-14T00:00:00"/>
        <d v="2025-07-15T00:00:00"/>
        <d v="2025-07-16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31T00:00:00"/>
        <d v="2025-08-01T00:00:00"/>
        <d v="2025-08-03T00:00:00"/>
        <d v="2025-08-05T00:00:00"/>
        <d v="2025-08-06T00:00:00"/>
        <d v="2025-08-08T00:00:00"/>
        <d v="2025-08-09T00:00:00"/>
        <d v="2025-08-10T00:00:00"/>
        <d v="2025-08-11T00:00:00"/>
        <d v="2025-08-12T00:00:00"/>
        <d v="2025-08-14T00:00:00"/>
        <d v="2025-08-15T00:00:00"/>
        <d v="2025-08-16T00:00:00"/>
        <d v="2025-08-17T00:00:00"/>
        <d v="2025-08-18T00:00:00"/>
        <d v="2025-08-21T00:00:00"/>
        <d v="2025-08-23T00:00:00"/>
        <d v="2025-08-24T00:00:00"/>
        <d v="2025-08-25T00:00:00"/>
        <d v="2025-08-26T00:00:00"/>
        <d v="2025-08-27T00:00:00"/>
        <d v="2025-08-28T00:00:00"/>
        <d v="2025-08-30T00:00:00"/>
        <d v="2025-09-03T00:00:00"/>
        <d v="2025-09-04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9T00:00:00"/>
        <d v="2025-09-21T00:00:00"/>
        <d v="2025-09-22T00:00:00"/>
        <d v="2025-09-24T00:00:00"/>
        <d v="2025-09-25T00:00:00"/>
        <d v="2025-09-26T00:00:00"/>
        <d v="2025-09-28T00:00:00"/>
        <d v="2025-09-29T00:00:00"/>
        <d v="2025-09-30T00:00:00"/>
        <d v="2025-10-02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5T00:00:00"/>
        <d v="2025-10-16T00:00:00"/>
        <d v="2025-10-17T00:00:00"/>
        <d v="2025-10-19T00:00:00"/>
        <d v="2025-10-21T00:00:00"/>
        <d v="2025-10-26T00:00:00"/>
        <d v="2025-10-28T00:00:00"/>
        <d v="2025-10-29T00:00:00"/>
        <d v="2025-10-30T00:00:00"/>
        <d v="2025-11-01T00:00:00"/>
        <d v="2025-11-02T00:00:00"/>
        <d v="2025-11-04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7T00:00:00"/>
        <d v="2025-11-18T00:00:00"/>
        <d v="2025-11-19T00:00:00"/>
        <d v="2025-11-21T00:00:00"/>
        <d v="2025-11-22T00:00:00"/>
        <d v="2025-11-23T00:00:00"/>
        <d v="2025-11-26T00:00:00"/>
        <d v="2025-11-27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20T00:00:00"/>
        <d v="2025-12-21T00:00:00"/>
        <d v="2025-12-23T00:00:00"/>
        <d v="2025-12-24T00:00:00"/>
        <d v="2025-12-26T00:00:00"/>
        <d v="2025-12-27T00:00:00"/>
        <d v="2025-12-30T00:00:00"/>
        <d v="2025-12-31T00:00:00"/>
      </sharedItems>
      <fieldGroup base="1">
        <rangePr groupBy="months" startDate="2025-01-01T00:00:00" endDate="2026-01-01T00:00:00"/>
        <groupItems count="14">
          <s v="&lt;01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6"/>
        </groupItems>
      </fieldGroup>
    </cacheField>
    <cacheField name="Customer_ID" numFmtId="0">
      <sharedItems count="216">
        <s v="CUST-1001"/>
        <s v="CUST-1002"/>
        <s v="CUST-1003"/>
        <s v="CUST-1004"/>
        <s v="CUST-1006"/>
        <s v="CUST-1007"/>
        <s v="CUST-1008"/>
        <s v="CUST-1009"/>
        <s v="CUST-1011"/>
        <s v="CUST-1012"/>
        <s v="CUST-1013"/>
        <s v="CUST-1014"/>
        <s v="CUST-1015"/>
        <s v="CUST-1016"/>
        <s v="CUST-1017"/>
        <s v="CUST-1019"/>
        <s v="CUST-1020"/>
        <s v="CUST-1021"/>
        <s v="CUST-1023"/>
        <s v="CUST-1025"/>
        <s v="CUST-1026"/>
        <s v="CUST-1027"/>
        <s v="CUST-1028"/>
        <s v="CUST-1030"/>
        <s v="CUST-1032"/>
        <s v="CUST-1033"/>
        <s v="CUST-1034"/>
        <s v="CUST-1035"/>
        <s v="CUST-1037"/>
        <s v="CUST-1038"/>
        <s v="CUST-1039"/>
        <s v="CUST-1040"/>
        <s v="CUST-1041"/>
        <s v="CUST-1042"/>
        <s v="CUST-1043"/>
        <s v="CUST-1045"/>
        <s v="CUST-1046"/>
        <s v="CUST-1047"/>
        <s v="CUST-1048"/>
        <s v="CUST-1049"/>
        <s v="CUST-1050"/>
        <s v="CUST-1051"/>
        <s v="CUST-1052"/>
        <s v="CUST-1053"/>
        <s v="CUST-1054"/>
        <s v="CUST-1055"/>
        <s v="CUST-1056"/>
        <s v="CUST-1057"/>
        <s v="CUST-1058"/>
        <s v="CUST-1059"/>
        <s v="CUST-1060"/>
        <s v="CUST-1061"/>
        <s v="CUST-1062"/>
        <s v="CUST-1063"/>
        <s v="CUST-1064"/>
        <s v="CUST-1065"/>
        <s v="CUST-1066"/>
        <s v="CUST-1067"/>
        <s v="CUST-1068"/>
        <s v="CUST-1069"/>
        <s v="CUST-1071"/>
        <s v="CUST-1072"/>
        <s v="CUST-1073"/>
        <s v="CUST-1074"/>
        <s v="CUST-1075"/>
        <s v="CUST-1076"/>
        <s v="CUST-1077"/>
        <s v="CUST-1078"/>
        <s v="CUST-1080"/>
        <s v="CUST-1082"/>
        <s v="CUST-1083"/>
        <s v="CUST-1084"/>
        <s v="CUST-1085"/>
        <s v="CUST-1086"/>
        <s v="CUST-1087"/>
        <s v="CUST-1088"/>
        <s v="CUST-1089"/>
        <s v="CUST-1090"/>
        <s v="CUST-1091"/>
        <s v="CUST-1092"/>
        <s v="CUST-1093"/>
        <s v="CUST-1094"/>
        <s v="CUST-1097"/>
        <s v="CUST-1098"/>
        <s v="CUST-1099"/>
        <s v="CUST-1100"/>
        <s v="CUST-1101"/>
        <s v="CUST-1102"/>
        <s v="CUST-1103"/>
        <s v="CUST-1104"/>
        <s v="CUST-1105"/>
        <s v="CUST-1106"/>
        <s v="CUST-1107"/>
        <s v="CUST-1108"/>
        <s v="CUST-1109"/>
        <s v="CUST-1110"/>
        <s v="CUST-1113"/>
        <s v="CUST-1114"/>
        <s v="CUST-1115"/>
        <s v="CUST-1116"/>
        <s v="CUST-1117"/>
        <s v="CUST-1119"/>
        <s v="CUST-1120"/>
        <s v="CUST-1121"/>
        <s v="CUST-1122"/>
        <s v="CUST-1123"/>
        <s v="CUST-1124"/>
        <s v="CUST-1125"/>
        <s v="CUST-1126"/>
        <s v="CUST-1127"/>
        <s v="CUST-1128"/>
        <s v="CUST-1129"/>
        <s v="CUST-1130"/>
        <s v="CUST-1131"/>
        <s v="CUST-1132"/>
        <s v="CUST-1133"/>
        <s v="CUST-1134"/>
        <s v="CUST-1136"/>
        <s v="CUST-1137"/>
        <s v="CUST-1139"/>
        <s v="CUST-1141"/>
        <s v="CUST-1142"/>
        <s v="CUST-1143"/>
        <s v="CUST-1145"/>
        <s v="CUST-1146"/>
        <s v="CUST-1147"/>
        <s v="CUST-1148"/>
        <s v="CUST-1149"/>
        <s v="CUST-1150"/>
        <s v="CUST-1151"/>
        <s v="CUST-1152"/>
        <s v="CUST-1153"/>
        <s v="CUST-1154"/>
        <s v="CUST-1156"/>
        <s v="CUST-1157"/>
        <s v="CUST-1158"/>
        <s v="CUST-1160"/>
        <s v="CUST-1161"/>
        <s v="CUST-1162"/>
        <s v="CUST-1163"/>
        <s v="CUST-1164"/>
        <s v="CUST-1166"/>
        <s v="CUST-1167"/>
        <s v="CUST-1168"/>
        <s v="CUST-1169"/>
        <s v="CUST-1170"/>
        <s v="CUST-1171"/>
        <s v="CUST-1172"/>
        <s v="CUST-1173"/>
        <s v="CUST-1174"/>
        <s v="CUST-1175"/>
        <s v="CUST-1176"/>
        <s v="CUST-1177"/>
        <s v="CUST-1178"/>
        <s v="CUST-1179"/>
        <s v="CUST-1180"/>
        <s v="CUST-1181"/>
        <s v="CUST-1182"/>
        <s v="CUST-1183"/>
        <s v="CUST-1185"/>
        <s v="CUST-1186"/>
        <s v="CUST-1187"/>
        <s v="CUST-1189"/>
        <s v="CUST-1190"/>
        <s v="CUST-1191"/>
        <s v="CUST-1192"/>
        <s v="CUST-1193"/>
        <s v="CUST-1194"/>
        <s v="CUST-1195"/>
        <s v="CUST-1196"/>
        <s v="CUST-1197"/>
        <s v="CUST-1198"/>
        <s v="CUST-1199"/>
        <s v="CUST-1200"/>
        <s v="CUST-1201"/>
        <s v="CUST-1203"/>
        <s v="CUST-1204"/>
        <s v="CUST-1206"/>
        <s v="CUST-1207"/>
        <s v="CUST-1209"/>
        <s v="CUST-1210"/>
        <s v="CUST-1211"/>
        <s v="CUST-1212"/>
        <s v="CUST-1213"/>
        <s v="CUST-1214"/>
        <s v="CUST-1215"/>
        <s v="CUST-1216"/>
        <s v="CUST-1218"/>
        <s v="CUST-1219"/>
        <s v="CUST-1220"/>
        <s v="CUST-1221"/>
        <s v="CUST-1222"/>
        <s v="CUST-1223"/>
        <s v="CUST-1224"/>
        <s v="CUST-1225"/>
        <s v="CUST-1226"/>
        <s v="CUST-1227"/>
        <s v="CUST-1228"/>
        <s v="CUST-1229"/>
        <s v="CUST-1230"/>
        <s v="CUST-1232"/>
        <s v="CUST-1233"/>
        <s v="CUST-1236"/>
        <s v="CUST-1237"/>
        <s v="CUST-1238"/>
        <s v="CUST-1239"/>
        <s v="CUST-1240"/>
        <s v="CUST-1241"/>
        <s v="CUST-1243"/>
        <s v="CUST-1244"/>
        <s v="CUST-1245"/>
        <s v="CUST-1246"/>
        <s v="CUST-1247"/>
        <s v="CUST-1248"/>
        <s v="CUST-1249"/>
        <s v="CUST-1250"/>
      </sharedItems>
    </cacheField>
    <cacheField name="Product" numFmtId="0">
      <sharedItems count="8">
        <s v="Desk"/>
        <s v="Headset"/>
        <s v="Keyboard"/>
        <s v="Laptop"/>
        <s v="Monitor"/>
        <s v="Mouse"/>
        <s v="Office Chair"/>
        <s v="Printer"/>
      </sharedItems>
    </cacheField>
    <cacheField name="Category" numFmtId="0">
      <sharedItems count="4">
        <s v="Accessories"/>
        <s v="Electronics"/>
        <s v="Furniture"/>
        <s v="Office Equipment"/>
      </sharedItems>
    </cacheField>
    <cacheField name="Region" numFmtId="0">
      <sharedItems count="4">
        <s v="East"/>
        <s v="North"/>
        <s v="South"/>
        <s v="West"/>
      </sharedItems>
    </cacheField>
    <cacheField name="Salesperson" numFmtId="0">
      <sharedItems count="6">
        <s v="Amina"/>
        <s v="Chinedu"/>
        <s v="Daniel"/>
        <s v="Fatima"/>
        <s v="Grace"/>
        <s v="Ibrahim"/>
      </sharedItems>
    </cacheField>
    <cacheField name="Quantity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Unit_Price" numFmtId="0">
      <sharedItems containsSemiMixedTypes="0" containsString="0" containsNumber="1" containsInteger="1" minValue="35" maxValue="850" count="8">
        <n v="35"/>
        <n v="65"/>
        <n v="75"/>
        <n v="210"/>
        <n v="240"/>
        <n v="280"/>
        <n v="320"/>
        <n v="850"/>
      </sharedItems>
    </cacheField>
    <cacheField name="Discount" numFmtId="0">
      <sharedItems containsSemiMixedTypes="0" containsString="0" containsNumber="1" minValue="0" maxValue="0.15" count="5">
        <n v="0"/>
        <n v="0.02"/>
        <n v="0.05"/>
        <n v="0.1"/>
        <n v="0.15"/>
      </sharedItems>
    </cacheField>
    <cacheField name="Revenue" numFmtId="0">
      <sharedItems containsSemiMixedTypes="0" containsString="0" containsNumber="1" minValue="29.75" maxValue="8500" count="247">
        <n v="29.75"/>
        <n v="31.5"/>
        <n v="33.25"/>
        <n v="34.299999999999997"/>
        <n v="35"/>
        <n v="59.5"/>
        <n v="61.75"/>
        <n v="63"/>
        <n v="63.7"/>
        <n v="65"/>
        <n v="66.5"/>
        <n v="67.5"/>
        <n v="68.599999999999994"/>
        <n v="70"/>
        <n v="71.25"/>
        <n v="73.5"/>
        <n v="75"/>
        <n v="94.5"/>
        <n v="99.75"/>
        <n v="102.9"/>
        <n v="117"/>
        <n v="119"/>
        <n v="123.5"/>
        <n v="126"/>
        <n v="127.4"/>
        <n v="130"/>
        <n v="133"/>
        <n v="135"/>
        <n v="137.19999999999999"/>
        <n v="140"/>
        <n v="142.5"/>
        <n v="150"/>
        <n v="157.5"/>
        <n v="171.5"/>
        <n v="175"/>
        <n v="175.5"/>
        <n v="178.5"/>
        <n v="185.25"/>
        <n v="189"/>
        <n v="191.1"/>
        <n v="195"/>
        <n v="199.5"/>
        <n v="202.5"/>
        <n v="208.25"/>
        <n v="210"/>
        <n v="213.75"/>
        <n v="220.5"/>
        <n v="228"/>
        <n v="234"/>
        <n v="235.2"/>
        <n v="240.1"/>
        <n v="245"/>
        <n v="247"/>
        <n v="252"/>
        <n v="254.8"/>
        <n v="260"/>
        <n v="266"/>
        <n v="270"/>
        <n v="272"/>
        <n v="274.39999999999998"/>
        <n v="280"/>
        <n v="283.5"/>
        <n v="285"/>
        <n v="288"/>
        <n v="292.5"/>
        <n v="294"/>
        <n v="299.25"/>
        <n v="300"/>
        <n v="304"/>
        <n v="308.7"/>
        <n v="313.60000000000002"/>
        <n v="315"/>
        <n v="318.5"/>
        <n v="320"/>
        <n v="325"/>
        <n v="331.5"/>
        <n v="332.5"/>
        <n v="343"/>
        <n v="350"/>
        <n v="351"/>
        <n v="356.25"/>
        <n v="367.5"/>
        <n v="370.5"/>
        <n v="375"/>
        <n v="378"/>
        <n v="382.2"/>
        <n v="390"/>
        <n v="399"/>
        <n v="405"/>
        <n v="420"/>
        <n v="427.5"/>
        <n v="441"/>
        <n v="445.9"/>
        <n v="450"/>
        <n v="456"/>
        <n v="468"/>
        <n v="470.4"/>
        <n v="472.5"/>
        <n v="476"/>
        <n v="480"/>
        <n v="494"/>
        <n v="498.75"/>
        <n v="509.6"/>
        <n v="520"/>
        <n v="525"/>
        <n v="532"/>
        <n v="540"/>
        <n v="548.79999999999995"/>
        <n v="552.5"/>
        <n v="555.75"/>
        <n v="560"/>
        <n v="573.29999999999995"/>
        <n v="576"/>
        <n v="585"/>
        <n v="588"/>
        <n v="598.5"/>
        <n v="600"/>
        <n v="607.5"/>
        <n v="608"/>
        <n v="612"/>
        <n v="617.4"/>
        <n v="617.5"/>
        <n v="627.20000000000005"/>
        <n v="630"/>
        <n v="637"/>
        <n v="637.5"/>
        <n v="640"/>
        <n v="641.25"/>
        <n v="648"/>
        <n v="650"/>
        <n v="675"/>
        <n v="684"/>
        <n v="712.5"/>
        <n v="714"/>
        <n v="720"/>
        <n v="722.5"/>
        <n v="735"/>
        <n v="750"/>
        <n v="756"/>
        <n v="798"/>
        <n v="807.5"/>
        <n v="816"/>
        <n v="823.2"/>
        <n v="833"/>
        <n v="840"/>
        <n v="850"/>
        <n v="892.5"/>
        <n v="912"/>
        <n v="945"/>
        <n v="960"/>
        <n v="997.5"/>
        <n v="1029"/>
        <n v="1050"/>
        <n v="1071"/>
        <n v="1097.5999999999999"/>
        <n v="1120"/>
        <n v="1134"/>
        <n v="1176"/>
        <n v="1197"/>
        <n v="1200"/>
        <n v="1234.8"/>
        <n v="1260"/>
        <n v="1280"/>
        <n v="1296"/>
        <n v="1323"/>
        <n v="1330"/>
        <n v="1368"/>
        <n v="1372"/>
        <n v="1396.5"/>
        <n v="1400"/>
        <n v="1411.2"/>
        <n v="1428"/>
        <n v="1440"/>
        <n v="1470"/>
        <n v="1512"/>
        <n v="1520"/>
        <n v="1530"/>
        <n v="1596"/>
        <n v="1600"/>
        <n v="1615"/>
        <n v="1632"/>
        <n v="1646.4"/>
        <n v="1680"/>
        <n v="1700"/>
        <n v="1764"/>
        <n v="1824"/>
        <n v="1852.2"/>
        <n v="1890"/>
        <n v="1920"/>
        <n v="1920.8"/>
        <n v="1960"/>
        <n v="1995"/>
        <n v="2016"/>
        <n v="2052"/>
        <n v="2116.8000000000002"/>
        <n v="2128"/>
        <n v="2142"/>
        <n v="2160"/>
        <n v="2167.5"/>
        <n v="2176"/>
        <n v="2195.1999999999998"/>
        <n v="2240"/>
        <n v="2268"/>
        <n v="2280"/>
        <n v="2304"/>
        <n v="2352"/>
        <n v="2394"/>
        <n v="2400"/>
        <n v="2422.5"/>
        <n v="2432"/>
        <n v="2499"/>
        <n v="2508.8000000000002"/>
        <n v="2520"/>
        <n v="2550"/>
        <n v="2560"/>
        <n v="2660"/>
        <n v="2736"/>
        <n v="2744"/>
        <n v="2800"/>
        <n v="2822.4"/>
        <n v="2880"/>
        <n v="2890"/>
        <n v="3040"/>
        <n v="3060"/>
        <n v="3136"/>
        <n v="3230"/>
        <n v="3400"/>
        <n v="3825"/>
        <n v="4037.5"/>
        <n v="4250"/>
        <n v="4845"/>
        <n v="4998"/>
        <n v="5057.5"/>
        <n v="5100"/>
        <n v="5355"/>
        <n v="5652.5"/>
        <n v="5950"/>
        <n v="6120"/>
        <n v="6460"/>
        <n v="6502.5"/>
        <n v="6800"/>
        <n v="6885"/>
        <n v="7267.5"/>
        <n v="7497"/>
        <n v="7650"/>
        <n v="8075"/>
        <n v="8500"/>
      </sharedItems>
    </cacheField>
    <cacheField name="Cost" numFmtId="0">
      <sharedItems containsSemiMixedTypes="0" containsString="0" containsNumber="1" containsInteger="1" minValue="18" maxValue="5200" count="78">
        <n v="18"/>
        <n v="35"/>
        <n v="36"/>
        <n v="40"/>
        <n v="54"/>
        <n v="70"/>
        <n v="72"/>
        <n v="80"/>
        <n v="90"/>
        <n v="105"/>
        <n v="108"/>
        <n v="120"/>
        <n v="125"/>
        <n v="126"/>
        <n v="140"/>
        <n v="144"/>
        <n v="145"/>
        <n v="160"/>
        <n v="162"/>
        <n v="170"/>
        <n v="175"/>
        <n v="180"/>
        <n v="195"/>
        <n v="200"/>
        <n v="210"/>
        <n v="240"/>
        <n v="245"/>
        <n v="250"/>
        <n v="280"/>
        <n v="290"/>
        <n v="315"/>
        <n v="320"/>
        <n v="340"/>
        <n v="350"/>
        <n v="360"/>
        <n v="375"/>
        <n v="390"/>
        <n v="400"/>
        <n v="435"/>
        <n v="500"/>
        <n v="510"/>
        <n v="520"/>
        <n v="580"/>
        <n v="585"/>
        <n v="625"/>
        <n v="680"/>
        <n v="725"/>
        <n v="750"/>
        <n v="780"/>
        <n v="850"/>
        <n v="870"/>
        <n v="875"/>
        <n v="975"/>
        <n v="1000"/>
        <n v="1015"/>
        <n v="1020"/>
        <n v="1040"/>
        <n v="1125"/>
        <n v="1160"/>
        <n v="1170"/>
        <n v="1190"/>
        <n v="1250"/>
        <n v="1305"/>
        <n v="1360"/>
        <n v="1365"/>
        <n v="1450"/>
        <n v="1530"/>
        <n v="1560"/>
        <n v="1700"/>
        <n v="1755"/>
        <n v="1950"/>
        <n v="2080"/>
        <n v="2600"/>
        <n v="3120"/>
        <n v="3640"/>
        <n v="4160"/>
        <n v="4680"/>
        <n v="5200"/>
      </sharedItems>
    </cacheField>
    <cacheField name="Profit" numFmtId="0">
      <sharedItems containsSemiMixedTypes="0" containsString="0" containsNumber="1" minValue="11.75" maxValue="3300" count="252">
        <n v="11.75"/>
        <n v="13.5"/>
        <n v="15.25"/>
        <n v="16.3"/>
        <n v="17"/>
        <n v="23.5"/>
        <n v="26.75"/>
        <n v="27"/>
        <n v="27.5"/>
        <n v="28.7"/>
        <n v="30"/>
        <n v="30.5"/>
        <n v="31.25"/>
        <n v="32.6"/>
        <n v="33.5"/>
        <n v="34"/>
        <n v="35"/>
        <n v="40.5"/>
        <n v="45.75"/>
        <n v="47"/>
        <n v="48.9"/>
        <n v="53.5"/>
        <n v="54"/>
        <n v="55"/>
        <n v="57.4"/>
        <n v="60"/>
        <n v="61"/>
        <n v="62.5"/>
        <n v="64"/>
        <n v="65.2"/>
        <n v="67.5"/>
        <n v="68"/>
        <n v="70"/>
        <n v="70.5"/>
        <n v="74.5"/>
        <n v="77"/>
        <n v="80.25"/>
        <n v="81.5"/>
        <n v="82"/>
        <n v="82.25"/>
        <n v="82.5"/>
        <n v="83"/>
        <n v="85"/>
        <n v="86.1"/>
        <n v="90"/>
        <n v="90.2"/>
        <n v="91.5"/>
        <n v="93"/>
        <n v="93.75"/>
        <n v="94"/>
        <n v="96"/>
        <n v="100.5"/>
        <n v="104.4"/>
        <n v="107"/>
        <n v="109"/>
        <n v="110"/>
        <n v="114.1"/>
        <n v="114.8"/>
        <n v="117.5"/>
        <n v="118.6"/>
        <n v="119"/>
        <n v="120"/>
        <n v="121.5"/>
        <n v="122"/>
        <n v="125"/>
        <n v="128"/>
        <n v="134"/>
        <n v="135"/>
        <n v="136"/>
        <n v="137.25"/>
        <n v="140"/>
        <n v="141"/>
        <n v="143.5"/>
        <n v="146.69999999999999"/>
        <n v="149"/>
        <n v="150"/>
        <n v="152.5"/>
        <n v="153"/>
        <n v="156.25"/>
        <n v="160.5"/>
        <n v="163"/>
        <n v="165"/>
        <n v="166"/>
        <n v="167.5"/>
        <n v="170"/>
        <n v="172.2"/>
        <n v="175"/>
        <n v="177"/>
        <n v="180"/>
        <n v="180.4"/>
        <n v="186"/>
        <n v="187.5"/>
        <n v="188"/>
        <n v="190"/>
        <n v="192"/>
        <n v="192.5"/>
        <n v="200.9"/>
        <n v="201"/>
        <n v="202.5"/>
        <n v="208.8"/>
        <n v="210"/>
        <n v="213"/>
        <n v="214"/>
        <n v="218"/>
        <n v="218.75"/>
        <n v="220"/>
        <n v="223.5"/>
        <n v="229.6"/>
        <n v="231"/>
        <n v="236"/>
        <n v="237.2"/>
        <n v="237.5"/>
        <n v="240"/>
        <n v="240.75"/>
        <n v="242.4"/>
        <n v="245"/>
        <n v="246"/>
        <n v="247.5"/>
        <n v="249"/>
        <n v="250"/>
        <n v="255"/>
        <n v="258.3"/>
        <n v="267.5"/>
        <n v="268"/>
        <n v="270"/>
        <n v="280"/>
        <n v="281.25"/>
        <n v="285"/>
        <n v="287"/>
        <n v="287.5"/>
        <n v="298"/>
        <n v="300"/>
        <n v="312.5"/>
        <n v="313"/>
        <n v="313.2"/>
        <n v="315"/>
        <n v="320"/>
        <n v="321"/>
        <n v="327"/>
        <n v="330"/>
        <n v="332"/>
        <n v="335"/>
        <n v="340"/>
        <n v="350"/>
        <n v="372.5"/>
        <n v="375"/>
        <n v="380"/>
        <n v="384"/>
        <n v="404"/>
        <n v="410"/>
        <n v="413"/>
        <n v="417.6"/>
        <n v="425"/>
        <n v="426"/>
        <n v="440"/>
        <n v="447"/>
        <n v="448"/>
        <n v="451"/>
        <n v="462"/>
        <n v="465"/>
        <n v="475"/>
        <n v="480"/>
        <n v="484.8"/>
        <n v="490"/>
        <n v="492"/>
        <n v="498"/>
        <n v="500"/>
        <n v="510"/>
        <n v="512"/>
        <n v="521.5"/>
        <n v="522"/>
        <n v="541.20000000000005"/>
        <n v="545"/>
        <n v="550"/>
        <n v="574"/>
        <n v="575"/>
        <n v="576"/>
        <n v="581"/>
        <n v="595"/>
        <n v="596"/>
        <n v="607.5"/>
        <n v="612"/>
        <n v="616"/>
        <n v="625"/>
        <n v="640"/>
        <n v="646.4"/>
        <n v="651"/>
        <n v="654"/>
        <n v="656"/>
        <n v="660"/>
        <n v="664"/>
        <n v="665"/>
        <n v="680"/>
        <n v="727.2"/>
        <n v="730.8"/>
        <n v="738"/>
        <n v="744"/>
        <n v="745"/>
        <n v="747"/>
        <n v="750"/>
        <n v="763"/>
        <n v="765"/>
        <n v="770"/>
        <n v="810"/>
        <n v="811.8"/>
        <n v="820"/>
        <n v="830"/>
        <n v="835.2"/>
        <n v="855"/>
        <n v="862.5"/>
        <n v="864"/>
        <n v="872"/>
        <n v="875"/>
        <n v="880"/>
        <n v="902"/>
        <n v="930"/>
        <n v="939"/>
        <n v="948.8"/>
        <n v="950"/>
        <n v="960"/>
        <n v="980"/>
        <n v="981"/>
        <n v="990"/>
        <n v="1000"/>
        <n v="1044"/>
        <n v="1067.4000000000001"/>
        <n v="1090"/>
        <n v="1100"/>
        <n v="1125"/>
        <n v="1150"/>
        <n v="1186"/>
        <n v="1225"/>
        <n v="1320"/>
        <n v="1417.5"/>
        <n v="1437.5"/>
        <n v="1650"/>
        <n v="1715"/>
        <n v="1725"/>
        <n v="1822.5"/>
        <n v="1878"/>
        <n v="1960"/>
        <n v="1980"/>
        <n v="2012.5"/>
        <n v="2205"/>
        <n v="2300"/>
        <n v="2310"/>
        <n v="2450"/>
        <n v="2587.5"/>
        <n v="2640"/>
        <n v="2817"/>
        <n v="2875"/>
        <n v="3300"/>
      </sharedItems>
    </cacheField>
    <cacheField name="Profit_Margin" numFmtId="0">
      <sharedItems containsSemiMixedTypes="0" containsString="0" containsNumber="1" minValue="0.28029999999999999" maxValue="0.48570000000000002" count="40">
        <n v="0.28029999999999999"/>
        <n v="0.28310000000000002"/>
        <n v="0.28570000000000001"/>
        <n v="0.28920000000000001"/>
        <n v="0.29970000000000002"/>
        <n v="0.32029999999999997"/>
        <n v="0.32290000000000002"/>
        <n v="0.32540000000000002"/>
        <n v="0.32869999999999999"/>
        <n v="0.33860000000000001"/>
        <n v="0.35599999999999998"/>
        <n v="0.35859999999999997"/>
        <n v="0.3609"/>
        <n v="0.36399999999999999"/>
        <n v="0.36649999999999999"/>
        <n v="0.3725"/>
        <n v="0.37340000000000001"/>
        <n v="0.37580000000000002"/>
        <n v="0.37819999999999998"/>
        <n v="0.3805"/>
        <n v="0.38350000000000001"/>
        <n v="0.38819999999999999"/>
        <n v="0.3906"/>
        <n v="0.3926"/>
        <n v="0.39290000000000003"/>
        <n v="0.39500000000000002"/>
        <n v="0.39579999999999999"/>
        <n v="0.4017"/>
        <n v="0.40479999999999999"/>
        <n v="0.40739999999999998"/>
        <n v="0.42859999999999998"/>
        <n v="0.43319999999999997"/>
        <n v="0.43859999999999999"/>
        <n v="0.45050000000000001"/>
        <n v="0.45579999999999998"/>
        <n v="0.45860000000000001"/>
        <n v="0.46150000000000002"/>
        <n v="0.4667"/>
        <n v="0.47520000000000001"/>
        <n v="0.48570000000000002"/>
      </sharedItems>
    </cacheField>
    <cacheField name="Years" numFmtId="0" databaseField="0">
      <fieldGroup base="1">
        <rangePr groupBy="years" startDate="2025-01-01T00:00:00" endDate="2026-01-01T00:00:00"/>
        <groupItems count="3">
          <s v="&lt;01/01/2025"/>
          <s v="2025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100"/>
    <x v="0"/>
    <x v="190"/>
    <x v="7"/>
    <x v="3"/>
    <x v="0"/>
    <x v="2"/>
    <x v="2"/>
    <x v="3"/>
    <x v="0"/>
    <x v="123"/>
    <x v="35"/>
    <x v="120"/>
    <x v="28"/>
  </r>
  <r>
    <x v="302"/>
    <x v="0"/>
    <x v="40"/>
    <x v="2"/>
    <x v="0"/>
    <x v="2"/>
    <x v="4"/>
    <x v="5"/>
    <x v="1"/>
    <x v="0"/>
    <x v="86"/>
    <x v="24"/>
    <x v="88"/>
    <x v="36"/>
  </r>
  <r>
    <x v="331"/>
    <x v="0"/>
    <x v="149"/>
    <x v="3"/>
    <x v="1"/>
    <x v="1"/>
    <x v="4"/>
    <x v="7"/>
    <x v="7"/>
    <x v="2"/>
    <x v="238"/>
    <x v="75"/>
    <x v="244"/>
    <x v="10"/>
  </r>
  <r>
    <x v="409"/>
    <x v="0"/>
    <x v="82"/>
    <x v="0"/>
    <x v="2"/>
    <x v="2"/>
    <x v="1"/>
    <x v="3"/>
    <x v="6"/>
    <x v="0"/>
    <x v="162"/>
    <x v="48"/>
    <x v="166"/>
    <x v="22"/>
  </r>
  <r>
    <x v="150"/>
    <x v="1"/>
    <x v="119"/>
    <x v="2"/>
    <x v="0"/>
    <x v="3"/>
    <x v="1"/>
    <x v="5"/>
    <x v="1"/>
    <x v="1"/>
    <x v="85"/>
    <x v="24"/>
    <x v="85"/>
    <x v="33"/>
  </r>
  <r>
    <x v="69"/>
    <x v="2"/>
    <x v="53"/>
    <x v="0"/>
    <x v="2"/>
    <x v="0"/>
    <x v="1"/>
    <x v="7"/>
    <x v="6"/>
    <x v="2"/>
    <x v="209"/>
    <x v="67"/>
    <x v="211"/>
    <x v="11"/>
  </r>
  <r>
    <x v="267"/>
    <x v="2"/>
    <x v="42"/>
    <x v="1"/>
    <x v="0"/>
    <x v="1"/>
    <x v="2"/>
    <x v="0"/>
    <x v="2"/>
    <x v="2"/>
    <x v="14"/>
    <x v="3"/>
    <x v="12"/>
    <x v="32"/>
  </r>
  <r>
    <x v="374"/>
    <x v="2"/>
    <x v="123"/>
    <x v="3"/>
    <x v="1"/>
    <x v="0"/>
    <x v="5"/>
    <x v="8"/>
    <x v="7"/>
    <x v="4"/>
    <x v="239"/>
    <x v="76"/>
    <x v="238"/>
    <x v="0"/>
  </r>
  <r>
    <x v="496"/>
    <x v="2"/>
    <x v="104"/>
    <x v="2"/>
    <x v="0"/>
    <x v="2"/>
    <x v="3"/>
    <x v="6"/>
    <x v="1"/>
    <x v="1"/>
    <x v="92"/>
    <x v="26"/>
    <x v="96"/>
    <x v="33"/>
  </r>
  <r>
    <x v="395"/>
    <x v="3"/>
    <x v="71"/>
    <x v="5"/>
    <x v="0"/>
    <x v="3"/>
    <x v="0"/>
    <x v="4"/>
    <x v="0"/>
    <x v="3"/>
    <x v="32"/>
    <x v="8"/>
    <x v="30"/>
    <x v="30"/>
  </r>
  <r>
    <x v="259"/>
    <x v="4"/>
    <x v="140"/>
    <x v="2"/>
    <x v="0"/>
    <x v="0"/>
    <x v="5"/>
    <x v="0"/>
    <x v="1"/>
    <x v="2"/>
    <x v="6"/>
    <x v="1"/>
    <x v="6"/>
    <x v="31"/>
  </r>
  <r>
    <x v="341"/>
    <x v="5"/>
    <x v="17"/>
    <x v="5"/>
    <x v="0"/>
    <x v="3"/>
    <x v="4"/>
    <x v="1"/>
    <x v="0"/>
    <x v="2"/>
    <x v="10"/>
    <x v="2"/>
    <x v="11"/>
    <x v="35"/>
  </r>
  <r>
    <x v="482"/>
    <x v="5"/>
    <x v="191"/>
    <x v="6"/>
    <x v="2"/>
    <x v="1"/>
    <x v="2"/>
    <x v="0"/>
    <x v="4"/>
    <x v="2"/>
    <x v="47"/>
    <x v="16"/>
    <x v="41"/>
    <x v="13"/>
  </r>
  <r>
    <x v="255"/>
    <x v="6"/>
    <x v="102"/>
    <x v="2"/>
    <x v="0"/>
    <x v="1"/>
    <x v="1"/>
    <x v="0"/>
    <x v="1"/>
    <x v="1"/>
    <x v="8"/>
    <x v="1"/>
    <x v="9"/>
    <x v="33"/>
  </r>
  <r>
    <x v="138"/>
    <x v="7"/>
    <x v="150"/>
    <x v="7"/>
    <x v="3"/>
    <x v="1"/>
    <x v="2"/>
    <x v="6"/>
    <x v="3"/>
    <x v="2"/>
    <x v="168"/>
    <x v="51"/>
    <x v="169"/>
    <x v="16"/>
  </r>
  <r>
    <x v="368"/>
    <x v="7"/>
    <x v="74"/>
    <x v="2"/>
    <x v="0"/>
    <x v="2"/>
    <x v="0"/>
    <x v="4"/>
    <x v="1"/>
    <x v="1"/>
    <x v="72"/>
    <x v="20"/>
    <x v="72"/>
    <x v="33"/>
  </r>
  <r>
    <x v="172"/>
    <x v="8"/>
    <x v="173"/>
    <x v="2"/>
    <x v="0"/>
    <x v="1"/>
    <x v="2"/>
    <x v="2"/>
    <x v="1"/>
    <x v="2"/>
    <x v="37"/>
    <x v="9"/>
    <x v="36"/>
    <x v="31"/>
  </r>
  <r>
    <x v="335"/>
    <x v="8"/>
    <x v="125"/>
    <x v="1"/>
    <x v="0"/>
    <x v="0"/>
    <x v="0"/>
    <x v="0"/>
    <x v="2"/>
    <x v="0"/>
    <x v="16"/>
    <x v="3"/>
    <x v="16"/>
    <x v="37"/>
  </r>
  <r>
    <x v="32"/>
    <x v="9"/>
    <x v="9"/>
    <x v="5"/>
    <x v="0"/>
    <x v="3"/>
    <x v="0"/>
    <x v="8"/>
    <x v="0"/>
    <x v="1"/>
    <x v="69"/>
    <x v="18"/>
    <x v="73"/>
    <x v="38"/>
  </r>
  <r>
    <x v="208"/>
    <x v="9"/>
    <x v="78"/>
    <x v="0"/>
    <x v="2"/>
    <x v="3"/>
    <x v="1"/>
    <x v="2"/>
    <x v="6"/>
    <x v="2"/>
    <x v="147"/>
    <x v="43"/>
    <x v="138"/>
    <x v="11"/>
  </r>
  <r>
    <x v="329"/>
    <x v="10"/>
    <x v="157"/>
    <x v="1"/>
    <x v="0"/>
    <x v="0"/>
    <x v="0"/>
    <x v="7"/>
    <x v="2"/>
    <x v="0"/>
    <x v="116"/>
    <x v="31"/>
    <x v="125"/>
    <x v="37"/>
  </r>
  <r>
    <x v="151"/>
    <x v="11"/>
    <x v="81"/>
    <x v="2"/>
    <x v="0"/>
    <x v="3"/>
    <x v="4"/>
    <x v="9"/>
    <x v="1"/>
    <x v="2"/>
    <x v="121"/>
    <x v="33"/>
    <x v="122"/>
    <x v="31"/>
  </r>
  <r>
    <x v="6"/>
    <x v="12"/>
    <x v="170"/>
    <x v="6"/>
    <x v="2"/>
    <x v="3"/>
    <x v="4"/>
    <x v="0"/>
    <x v="4"/>
    <x v="2"/>
    <x v="47"/>
    <x v="16"/>
    <x v="41"/>
    <x v="13"/>
  </r>
  <r>
    <x v="220"/>
    <x v="13"/>
    <x v="23"/>
    <x v="2"/>
    <x v="0"/>
    <x v="2"/>
    <x v="2"/>
    <x v="3"/>
    <x v="1"/>
    <x v="1"/>
    <x v="54"/>
    <x v="14"/>
    <x v="57"/>
    <x v="33"/>
  </r>
  <r>
    <x v="290"/>
    <x v="13"/>
    <x v="158"/>
    <x v="3"/>
    <x v="1"/>
    <x v="1"/>
    <x v="2"/>
    <x v="3"/>
    <x v="7"/>
    <x v="2"/>
    <x v="225"/>
    <x v="71"/>
    <x v="229"/>
    <x v="10"/>
  </r>
  <r>
    <x v="37"/>
    <x v="14"/>
    <x v="94"/>
    <x v="3"/>
    <x v="1"/>
    <x v="0"/>
    <x v="0"/>
    <x v="3"/>
    <x v="7"/>
    <x v="2"/>
    <x v="225"/>
    <x v="71"/>
    <x v="229"/>
    <x v="10"/>
  </r>
  <r>
    <x v="325"/>
    <x v="14"/>
    <x v="74"/>
    <x v="0"/>
    <x v="2"/>
    <x v="2"/>
    <x v="3"/>
    <x v="1"/>
    <x v="6"/>
    <x v="0"/>
    <x v="126"/>
    <x v="36"/>
    <x v="119"/>
    <x v="22"/>
  </r>
  <r>
    <x v="136"/>
    <x v="15"/>
    <x v="32"/>
    <x v="3"/>
    <x v="1"/>
    <x v="3"/>
    <x v="5"/>
    <x v="5"/>
    <x v="7"/>
    <x v="0"/>
    <x v="233"/>
    <x v="73"/>
    <x v="241"/>
    <x v="21"/>
  </r>
  <r>
    <x v="401"/>
    <x v="15"/>
    <x v="39"/>
    <x v="5"/>
    <x v="0"/>
    <x v="2"/>
    <x v="0"/>
    <x v="1"/>
    <x v="0"/>
    <x v="3"/>
    <x v="7"/>
    <x v="2"/>
    <x v="7"/>
    <x v="30"/>
  </r>
  <r>
    <x v="234"/>
    <x v="16"/>
    <x v="70"/>
    <x v="5"/>
    <x v="0"/>
    <x v="0"/>
    <x v="5"/>
    <x v="1"/>
    <x v="0"/>
    <x v="0"/>
    <x v="13"/>
    <x v="2"/>
    <x v="15"/>
    <x v="39"/>
  </r>
  <r>
    <x v="29"/>
    <x v="17"/>
    <x v="50"/>
    <x v="5"/>
    <x v="0"/>
    <x v="2"/>
    <x v="5"/>
    <x v="3"/>
    <x v="0"/>
    <x v="1"/>
    <x v="28"/>
    <x v="6"/>
    <x v="29"/>
    <x v="38"/>
  </r>
  <r>
    <x v="350"/>
    <x v="18"/>
    <x v="172"/>
    <x v="5"/>
    <x v="0"/>
    <x v="1"/>
    <x v="1"/>
    <x v="8"/>
    <x v="0"/>
    <x v="1"/>
    <x v="69"/>
    <x v="18"/>
    <x v="73"/>
    <x v="38"/>
  </r>
  <r>
    <x v="268"/>
    <x v="19"/>
    <x v="76"/>
    <x v="7"/>
    <x v="3"/>
    <x v="2"/>
    <x v="3"/>
    <x v="0"/>
    <x v="3"/>
    <x v="2"/>
    <x v="41"/>
    <x v="12"/>
    <x v="34"/>
    <x v="16"/>
  </r>
  <r>
    <x v="455"/>
    <x v="20"/>
    <x v="94"/>
    <x v="2"/>
    <x v="0"/>
    <x v="0"/>
    <x v="4"/>
    <x v="9"/>
    <x v="1"/>
    <x v="4"/>
    <x v="108"/>
    <x v="33"/>
    <x v="98"/>
    <x v="14"/>
  </r>
  <r>
    <x v="161"/>
    <x v="21"/>
    <x v="196"/>
    <x v="3"/>
    <x v="1"/>
    <x v="0"/>
    <x v="2"/>
    <x v="2"/>
    <x v="7"/>
    <x v="2"/>
    <x v="208"/>
    <x v="67"/>
    <x v="209"/>
    <x v="10"/>
  </r>
  <r>
    <x v="415"/>
    <x v="22"/>
    <x v="165"/>
    <x v="3"/>
    <x v="1"/>
    <x v="1"/>
    <x v="2"/>
    <x v="4"/>
    <x v="7"/>
    <x v="3"/>
    <x v="227"/>
    <x v="72"/>
    <x v="231"/>
    <x v="5"/>
  </r>
  <r>
    <x v="468"/>
    <x v="22"/>
    <x v="78"/>
    <x v="6"/>
    <x v="2"/>
    <x v="1"/>
    <x v="1"/>
    <x v="6"/>
    <x v="4"/>
    <x v="0"/>
    <x v="182"/>
    <x v="54"/>
    <x v="191"/>
    <x v="26"/>
  </r>
  <r>
    <x v="177"/>
    <x v="23"/>
    <x v="57"/>
    <x v="2"/>
    <x v="0"/>
    <x v="0"/>
    <x v="5"/>
    <x v="2"/>
    <x v="1"/>
    <x v="3"/>
    <x v="35"/>
    <x v="9"/>
    <x v="33"/>
    <x v="27"/>
  </r>
  <r>
    <x v="362"/>
    <x v="23"/>
    <x v="138"/>
    <x v="3"/>
    <x v="1"/>
    <x v="3"/>
    <x v="1"/>
    <x v="2"/>
    <x v="7"/>
    <x v="0"/>
    <x v="213"/>
    <x v="67"/>
    <x v="222"/>
    <x v="21"/>
  </r>
  <r>
    <x v="35"/>
    <x v="24"/>
    <x v="68"/>
    <x v="6"/>
    <x v="2"/>
    <x v="1"/>
    <x v="4"/>
    <x v="3"/>
    <x v="4"/>
    <x v="0"/>
    <x v="149"/>
    <x v="42"/>
    <x v="146"/>
    <x v="26"/>
  </r>
  <r>
    <x v="199"/>
    <x v="24"/>
    <x v="66"/>
    <x v="2"/>
    <x v="0"/>
    <x v="2"/>
    <x v="0"/>
    <x v="4"/>
    <x v="1"/>
    <x v="0"/>
    <x v="74"/>
    <x v="20"/>
    <x v="75"/>
    <x v="36"/>
  </r>
  <r>
    <x v="205"/>
    <x v="25"/>
    <x v="188"/>
    <x v="6"/>
    <x v="2"/>
    <x v="3"/>
    <x v="0"/>
    <x v="5"/>
    <x v="4"/>
    <x v="1"/>
    <x v="170"/>
    <x v="50"/>
    <x v="171"/>
    <x v="20"/>
  </r>
  <r>
    <x v="26"/>
    <x v="26"/>
    <x v="89"/>
    <x v="0"/>
    <x v="2"/>
    <x v="3"/>
    <x v="1"/>
    <x v="9"/>
    <x v="6"/>
    <x v="1"/>
    <x v="224"/>
    <x v="70"/>
    <x v="230"/>
    <x v="18"/>
  </r>
  <r>
    <x v="130"/>
    <x v="26"/>
    <x v="163"/>
    <x v="5"/>
    <x v="0"/>
    <x v="2"/>
    <x v="0"/>
    <x v="6"/>
    <x v="0"/>
    <x v="1"/>
    <x v="50"/>
    <x v="13"/>
    <x v="56"/>
    <x v="38"/>
  </r>
  <r>
    <x v="239"/>
    <x v="26"/>
    <x v="15"/>
    <x v="1"/>
    <x v="0"/>
    <x v="0"/>
    <x v="3"/>
    <x v="8"/>
    <x v="2"/>
    <x v="3"/>
    <x v="117"/>
    <x v="34"/>
    <x v="117"/>
    <x v="29"/>
  </r>
  <r>
    <x v="291"/>
    <x v="26"/>
    <x v="13"/>
    <x v="2"/>
    <x v="0"/>
    <x v="3"/>
    <x v="1"/>
    <x v="4"/>
    <x v="1"/>
    <x v="0"/>
    <x v="74"/>
    <x v="20"/>
    <x v="75"/>
    <x v="36"/>
  </r>
  <r>
    <x v="419"/>
    <x v="26"/>
    <x v="44"/>
    <x v="0"/>
    <x v="2"/>
    <x v="2"/>
    <x v="5"/>
    <x v="9"/>
    <x v="6"/>
    <x v="3"/>
    <x v="220"/>
    <x v="70"/>
    <x v="215"/>
    <x v="6"/>
  </r>
  <r>
    <x v="353"/>
    <x v="27"/>
    <x v="3"/>
    <x v="1"/>
    <x v="0"/>
    <x v="0"/>
    <x v="3"/>
    <x v="5"/>
    <x v="2"/>
    <x v="2"/>
    <x v="90"/>
    <x v="25"/>
    <x v="91"/>
    <x v="32"/>
  </r>
  <r>
    <x v="242"/>
    <x v="28"/>
    <x v="182"/>
    <x v="5"/>
    <x v="0"/>
    <x v="3"/>
    <x v="0"/>
    <x v="4"/>
    <x v="0"/>
    <x v="1"/>
    <x v="33"/>
    <x v="8"/>
    <x v="37"/>
    <x v="38"/>
  </r>
  <r>
    <x v="169"/>
    <x v="29"/>
    <x v="126"/>
    <x v="0"/>
    <x v="2"/>
    <x v="0"/>
    <x v="2"/>
    <x v="1"/>
    <x v="6"/>
    <x v="0"/>
    <x v="126"/>
    <x v="36"/>
    <x v="119"/>
    <x v="22"/>
  </r>
  <r>
    <x v="474"/>
    <x v="29"/>
    <x v="185"/>
    <x v="2"/>
    <x v="0"/>
    <x v="2"/>
    <x v="1"/>
    <x v="9"/>
    <x v="1"/>
    <x v="0"/>
    <x v="129"/>
    <x v="33"/>
    <x v="131"/>
    <x v="36"/>
  </r>
  <r>
    <x v="170"/>
    <x v="30"/>
    <x v="106"/>
    <x v="1"/>
    <x v="0"/>
    <x v="1"/>
    <x v="3"/>
    <x v="5"/>
    <x v="2"/>
    <x v="1"/>
    <x v="91"/>
    <x v="25"/>
    <x v="97"/>
    <x v="34"/>
  </r>
  <r>
    <x v="310"/>
    <x v="30"/>
    <x v="147"/>
    <x v="1"/>
    <x v="0"/>
    <x v="2"/>
    <x v="3"/>
    <x v="1"/>
    <x v="2"/>
    <x v="2"/>
    <x v="30"/>
    <x v="7"/>
    <x v="27"/>
    <x v="32"/>
  </r>
  <r>
    <x v="361"/>
    <x v="31"/>
    <x v="186"/>
    <x v="3"/>
    <x v="1"/>
    <x v="1"/>
    <x v="5"/>
    <x v="6"/>
    <x v="7"/>
    <x v="2"/>
    <x v="235"/>
    <x v="74"/>
    <x v="242"/>
    <x v="10"/>
  </r>
  <r>
    <x v="75"/>
    <x v="32"/>
    <x v="10"/>
    <x v="4"/>
    <x v="1"/>
    <x v="2"/>
    <x v="1"/>
    <x v="0"/>
    <x v="5"/>
    <x v="3"/>
    <x v="53"/>
    <x v="19"/>
    <x v="38"/>
    <x v="7"/>
  </r>
  <r>
    <x v="124"/>
    <x v="32"/>
    <x v="187"/>
    <x v="6"/>
    <x v="2"/>
    <x v="1"/>
    <x v="3"/>
    <x v="6"/>
    <x v="4"/>
    <x v="2"/>
    <x v="177"/>
    <x v="54"/>
    <x v="177"/>
    <x v="13"/>
  </r>
  <r>
    <x v="326"/>
    <x v="32"/>
    <x v="150"/>
    <x v="2"/>
    <x v="0"/>
    <x v="2"/>
    <x v="1"/>
    <x v="0"/>
    <x v="1"/>
    <x v="1"/>
    <x v="8"/>
    <x v="1"/>
    <x v="9"/>
    <x v="33"/>
  </r>
  <r>
    <x v="106"/>
    <x v="33"/>
    <x v="181"/>
    <x v="0"/>
    <x v="2"/>
    <x v="2"/>
    <x v="0"/>
    <x v="5"/>
    <x v="6"/>
    <x v="2"/>
    <x v="185"/>
    <x v="59"/>
    <x v="187"/>
    <x v="11"/>
  </r>
  <r>
    <x v="48"/>
    <x v="34"/>
    <x v="6"/>
    <x v="0"/>
    <x v="2"/>
    <x v="2"/>
    <x v="1"/>
    <x v="4"/>
    <x v="6"/>
    <x v="0"/>
    <x v="178"/>
    <x v="52"/>
    <x v="183"/>
    <x v="22"/>
  </r>
  <r>
    <x v="410"/>
    <x v="34"/>
    <x v="77"/>
    <x v="2"/>
    <x v="0"/>
    <x v="0"/>
    <x v="3"/>
    <x v="4"/>
    <x v="1"/>
    <x v="1"/>
    <x v="72"/>
    <x v="20"/>
    <x v="72"/>
    <x v="33"/>
  </r>
  <r>
    <x v="458"/>
    <x v="34"/>
    <x v="206"/>
    <x v="2"/>
    <x v="0"/>
    <x v="0"/>
    <x v="2"/>
    <x v="7"/>
    <x v="1"/>
    <x v="2"/>
    <x v="100"/>
    <x v="28"/>
    <x v="102"/>
    <x v="31"/>
  </r>
  <r>
    <x v="494"/>
    <x v="34"/>
    <x v="194"/>
    <x v="6"/>
    <x v="2"/>
    <x v="3"/>
    <x v="0"/>
    <x v="1"/>
    <x v="4"/>
    <x v="0"/>
    <x v="99"/>
    <x v="29"/>
    <x v="93"/>
    <x v="26"/>
  </r>
  <r>
    <x v="229"/>
    <x v="35"/>
    <x v="87"/>
    <x v="6"/>
    <x v="2"/>
    <x v="3"/>
    <x v="5"/>
    <x v="5"/>
    <x v="4"/>
    <x v="3"/>
    <x v="163"/>
    <x v="50"/>
    <x v="153"/>
    <x v="8"/>
  </r>
  <r>
    <x v="66"/>
    <x v="36"/>
    <x v="101"/>
    <x v="5"/>
    <x v="0"/>
    <x v="2"/>
    <x v="3"/>
    <x v="6"/>
    <x v="0"/>
    <x v="1"/>
    <x v="50"/>
    <x v="13"/>
    <x v="56"/>
    <x v="38"/>
  </r>
  <r>
    <x v="235"/>
    <x v="36"/>
    <x v="95"/>
    <x v="5"/>
    <x v="0"/>
    <x v="1"/>
    <x v="5"/>
    <x v="6"/>
    <x v="0"/>
    <x v="0"/>
    <x v="51"/>
    <x v="13"/>
    <x v="60"/>
    <x v="39"/>
  </r>
  <r>
    <x v="402"/>
    <x v="36"/>
    <x v="36"/>
    <x v="2"/>
    <x v="0"/>
    <x v="1"/>
    <x v="2"/>
    <x v="4"/>
    <x v="1"/>
    <x v="0"/>
    <x v="74"/>
    <x v="20"/>
    <x v="75"/>
    <x v="36"/>
  </r>
  <r>
    <x v="470"/>
    <x v="36"/>
    <x v="74"/>
    <x v="6"/>
    <x v="2"/>
    <x v="1"/>
    <x v="4"/>
    <x v="8"/>
    <x v="4"/>
    <x v="1"/>
    <x v="194"/>
    <x v="62"/>
    <x v="204"/>
    <x v="20"/>
  </r>
  <r>
    <x v="9"/>
    <x v="37"/>
    <x v="213"/>
    <x v="4"/>
    <x v="1"/>
    <x v="2"/>
    <x v="1"/>
    <x v="9"/>
    <x v="5"/>
    <x v="3"/>
    <x v="212"/>
    <x v="68"/>
    <x v="205"/>
    <x v="7"/>
  </r>
  <r>
    <x v="63"/>
    <x v="37"/>
    <x v="9"/>
    <x v="3"/>
    <x v="1"/>
    <x v="1"/>
    <x v="2"/>
    <x v="7"/>
    <x v="7"/>
    <x v="0"/>
    <x v="240"/>
    <x v="75"/>
    <x v="248"/>
    <x v="21"/>
  </r>
  <r>
    <x v="332"/>
    <x v="37"/>
    <x v="37"/>
    <x v="5"/>
    <x v="0"/>
    <x v="2"/>
    <x v="5"/>
    <x v="8"/>
    <x v="0"/>
    <x v="0"/>
    <x v="71"/>
    <x v="18"/>
    <x v="77"/>
    <x v="39"/>
  </r>
  <r>
    <x v="427"/>
    <x v="37"/>
    <x v="14"/>
    <x v="5"/>
    <x v="0"/>
    <x v="3"/>
    <x v="4"/>
    <x v="6"/>
    <x v="0"/>
    <x v="1"/>
    <x v="50"/>
    <x v="13"/>
    <x v="56"/>
    <x v="38"/>
  </r>
  <r>
    <x v="238"/>
    <x v="38"/>
    <x v="145"/>
    <x v="2"/>
    <x v="0"/>
    <x v="0"/>
    <x v="0"/>
    <x v="8"/>
    <x v="1"/>
    <x v="1"/>
    <x v="111"/>
    <x v="30"/>
    <x v="121"/>
    <x v="33"/>
  </r>
  <r>
    <x v="10"/>
    <x v="39"/>
    <x v="9"/>
    <x v="2"/>
    <x v="0"/>
    <x v="1"/>
    <x v="0"/>
    <x v="5"/>
    <x v="1"/>
    <x v="0"/>
    <x v="86"/>
    <x v="24"/>
    <x v="88"/>
    <x v="36"/>
  </r>
  <r>
    <x v="56"/>
    <x v="39"/>
    <x v="191"/>
    <x v="1"/>
    <x v="0"/>
    <x v="0"/>
    <x v="5"/>
    <x v="8"/>
    <x v="2"/>
    <x v="0"/>
    <x v="130"/>
    <x v="34"/>
    <x v="135"/>
    <x v="37"/>
  </r>
  <r>
    <x v="90"/>
    <x v="39"/>
    <x v="169"/>
    <x v="1"/>
    <x v="0"/>
    <x v="2"/>
    <x v="1"/>
    <x v="4"/>
    <x v="2"/>
    <x v="0"/>
    <x v="83"/>
    <x v="23"/>
    <x v="86"/>
    <x v="37"/>
  </r>
  <r>
    <x v="98"/>
    <x v="39"/>
    <x v="162"/>
    <x v="0"/>
    <x v="2"/>
    <x v="2"/>
    <x v="0"/>
    <x v="7"/>
    <x v="6"/>
    <x v="1"/>
    <x v="211"/>
    <x v="67"/>
    <x v="217"/>
    <x v="18"/>
  </r>
  <r>
    <x v="298"/>
    <x v="39"/>
    <x v="27"/>
    <x v="6"/>
    <x v="2"/>
    <x v="0"/>
    <x v="2"/>
    <x v="6"/>
    <x v="4"/>
    <x v="2"/>
    <x v="177"/>
    <x v="54"/>
    <x v="177"/>
    <x v="13"/>
  </r>
  <r>
    <x v="309"/>
    <x v="39"/>
    <x v="168"/>
    <x v="0"/>
    <x v="2"/>
    <x v="3"/>
    <x v="0"/>
    <x v="7"/>
    <x v="6"/>
    <x v="2"/>
    <x v="209"/>
    <x v="67"/>
    <x v="211"/>
    <x v="11"/>
  </r>
  <r>
    <x v="67"/>
    <x v="40"/>
    <x v="13"/>
    <x v="3"/>
    <x v="1"/>
    <x v="0"/>
    <x v="4"/>
    <x v="2"/>
    <x v="7"/>
    <x v="1"/>
    <x v="210"/>
    <x v="67"/>
    <x v="216"/>
    <x v="17"/>
  </r>
  <r>
    <x v="492"/>
    <x v="41"/>
    <x v="71"/>
    <x v="3"/>
    <x v="1"/>
    <x v="0"/>
    <x v="5"/>
    <x v="8"/>
    <x v="7"/>
    <x v="2"/>
    <x v="242"/>
    <x v="76"/>
    <x v="247"/>
    <x v="10"/>
  </r>
  <r>
    <x v="215"/>
    <x v="42"/>
    <x v="210"/>
    <x v="6"/>
    <x v="2"/>
    <x v="1"/>
    <x v="1"/>
    <x v="4"/>
    <x v="4"/>
    <x v="1"/>
    <x v="157"/>
    <x v="46"/>
    <x v="157"/>
    <x v="20"/>
  </r>
  <r>
    <x v="51"/>
    <x v="43"/>
    <x v="106"/>
    <x v="0"/>
    <x v="2"/>
    <x v="2"/>
    <x v="5"/>
    <x v="9"/>
    <x v="6"/>
    <x v="2"/>
    <x v="222"/>
    <x v="70"/>
    <x v="226"/>
    <x v="11"/>
  </r>
  <r>
    <x v="385"/>
    <x v="43"/>
    <x v="159"/>
    <x v="1"/>
    <x v="0"/>
    <x v="3"/>
    <x v="1"/>
    <x v="8"/>
    <x v="2"/>
    <x v="2"/>
    <x v="127"/>
    <x v="34"/>
    <x v="126"/>
    <x v="32"/>
  </r>
  <r>
    <x v="166"/>
    <x v="44"/>
    <x v="142"/>
    <x v="1"/>
    <x v="0"/>
    <x v="0"/>
    <x v="4"/>
    <x v="4"/>
    <x v="2"/>
    <x v="2"/>
    <x v="80"/>
    <x v="23"/>
    <x v="78"/>
    <x v="32"/>
  </r>
  <r>
    <x v="377"/>
    <x v="44"/>
    <x v="4"/>
    <x v="3"/>
    <x v="1"/>
    <x v="1"/>
    <x v="2"/>
    <x v="0"/>
    <x v="7"/>
    <x v="4"/>
    <x v="135"/>
    <x v="41"/>
    <x v="98"/>
    <x v="0"/>
  </r>
  <r>
    <x v="438"/>
    <x v="45"/>
    <x v="8"/>
    <x v="7"/>
    <x v="3"/>
    <x v="2"/>
    <x v="2"/>
    <x v="3"/>
    <x v="3"/>
    <x v="2"/>
    <x v="139"/>
    <x v="39"/>
    <x v="130"/>
    <x v="16"/>
  </r>
  <r>
    <x v="112"/>
    <x v="46"/>
    <x v="150"/>
    <x v="1"/>
    <x v="0"/>
    <x v="3"/>
    <x v="3"/>
    <x v="0"/>
    <x v="2"/>
    <x v="3"/>
    <x v="11"/>
    <x v="3"/>
    <x v="8"/>
    <x v="29"/>
  </r>
  <r>
    <x v="123"/>
    <x v="46"/>
    <x v="23"/>
    <x v="7"/>
    <x v="3"/>
    <x v="2"/>
    <x v="1"/>
    <x v="5"/>
    <x v="3"/>
    <x v="1"/>
    <x v="160"/>
    <x v="47"/>
    <x v="162"/>
    <x v="23"/>
  </r>
  <r>
    <x v="232"/>
    <x v="46"/>
    <x v="151"/>
    <x v="5"/>
    <x v="0"/>
    <x v="1"/>
    <x v="0"/>
    <x v="8"/>
    <x v="0"/>
    <x v="2"/>
    <x v="66"/>
    <x v="18"/>
    <x v="69"/>
    <x v="35"/>
  </r>
  <r>
    <x v="467"/>
    <x v="46"/>
    <x v="131"/>
    <x v="3"/>
    <x v="1"/>
    <x v="3"/>
    <x v="1"/>
    <x v="3"/>
    <x v="7"/>
    <x v="0"/>
    <x v="226"/>
    <x v="71"/>
    <x v="232"/>
    <x v="21"/>
  </r>
  <r>
    <x v="281"/>
    <x v="47"/>
    <x v="6"/>
    <x v="5"/>
    <x v="0"/>
    <x v="0"/>
    <x v="0"/>
    <x v="2"/>
    <x v="0"/>
    <x v="2"/>
    <x v="18"/>
    <x v="4"/>
    <x v="18"/>
    <x v="35"/>
  </r>
  <r>
    <x v="418"/>
    <x v="48"/>
    <x v="92"/>
    <x v="1"/>
    <x v="0"/>
    <x v="3"/>
    <x v="3"/>
    <x v="7"/>
    <x v="2"/>
    <x v="1"/>
    <x v="114"/>
    <x v="31"/>
    <x v="123"/>
    <x v="34"/>
  </r>
  <r>
    <x v="256"/>
    <x v="49"/>
    <x v="141"/>
    <x v="7"/>
    <x v="3"/>
    <x v="1"/>
    <x v="2"/>
    <x v="4"/>
    <x v="3"/>
    <x v="0"/>
    <x v="152"/>
    <x v="44"/>
    <x v="152"/>
    <x v="28"/>
  </r>
  <r>
    <x v="189"/>
    <x v="50"/>
    <x v="156"/>
    <x v="0"/>
    <x v="2"/>
    <x v="1"/>
    <x v="2"/>
    <x v="4"/>
    <x v="6"/>
    <x v="3"/>
    <x v="172"/>
    <x v="52"/>
    <x v="159"/>
    <x v="6"/>
  </r>
  <r>
    <x v="439"/>
    <x v="50"/>
    <x v="204"/>
    <x v="2"/>
    <x v="0"/>
    <x v="1"/>
    <x v="1"/>
    <x v="5"/>
    <x v="1"/>
    <x v="2"/>
    <x v="82"/>
    <x v="24"/>
    <x v="79"/>
    <x v="31"/>
  </r>
  <r>
    <x v="116"/>
    <x v="51"/>
    <x v="183"/>
    <x v="3"/>
    <x v="1"/>
    <x v="0"/>
    <x v="4"/>
    <x v="8"/>
    <x v="7"/>
    <x v="3"/>
    <x v="241"/>
    <x v="76"/>
    <x v="243"/>
    <x v="5"/>
  </r>
  <r>
    <x v="224"/>
    <x v="51"/>
    <x v="19"/>
    <x v="4"/>
    <x v="1"/>
    <x v="0"/>
    <x v="0"/>
    <x v="6"/>
    <x v="5"/>
    <x v="0"/>
    <x v="190"/>
    <x v="60"/>
    <x v="202"/>
    <x v="24"/>
  </r>
  <r>
    <x v="254"/>
    <x v="51"/>
    <x v="121"/>
    <x v="3"/>
    <x v="1"/>
    <x v="0"/>
    <x v="2"/>
    <x v="8"/>
    <x v="7"/>
    <x v="2"/>
    <x v="242"/>
    <x v="76"/>
    <x v="247"/>
    <x v="10"/>
  </r>
  <r>
    <x v="408"/>
    <x v="52"/>
    <x v="106"/>
    <x v="5"/>
    <x v="0"/>
    <x v="1"/>
    <x v="0"/>
    <x v="2"/>
    <x v="0"/>
    <x v="1"/>
    <x v="19"/>
    <x v="4"/>
    <x v="20"/>
    <x v="38"/>
  </r>
  <r>
    <x v="317"/>
    <x v="53"/>
    <x v="27"/>
    <x v="3"/>
    <x v="1"/>
    <x v="1"/>
    <x v="0"/>
    <x v="5"/>
    <x v="7"/>
    <x v="0"/>
    <x v="233"/>
    <x v="73"/>
    <x v="241"/>
    <x v="21"/>
  </r>
  <r>
    <x v="459"/>
    <x v="54"/>
    <x v="137"/>
    <x v="2"/>
    <x v="0"/>
    <x v="0"/>
    <x v="5"/>
    <x v="7"/>
    <x v="1"/>
    <x v="3"/>
    <x v="95"/>
    <x v="28"/>
    <x v="92"/>
    <x v="27"/>
  </r>
  <r>
    <x v="364"/>
    <x v="55"/>
    <x v="158"/>
    <x v="7"/>
    <x v="3"/>
    <x v="2"/>
    <x v="1"/>
    <x v="7"/>
    <x v="3"/>
    <x v="0"/>
    <x v="182"/>
    <x v="53"/>
    <x v="192"/>
    <x v="28"/>
  </r>
  <r>
    <x v="405"/>
    <x v="56"/>
    <x v="117"/>
    <x v="5"/>
    <x v="0"/>
    <x v="1"/>
    <x v="4"/>
    <x v="4"/>
    <x v="0"/>
    <x v="0"/>
    <x v="34"/>
    <x v="8"/>
    <x v="42"/>
    <x v="39"/>
  </r>
  <r>
    <x v="216"/>
    <x v="57"/>
    <x v="61"/>
    <x v="5"/>
    <x v="0"/>
    <x v="1"/>
    <x v="3"/>
    <x v="0"/>
    <x v="0"/>
    <x v="4"/>
    <x v="0"/>
    <x v="0"/>
    <x v="0"/>
    <x v="25"/>
  </r>
  <r>
    <x v="407"/>
    <x v="58"/>
    <x v="126"/>
    <x v="1"/>
    <x v="0"/>
    <x v="3"/>
    <x v="2"/>
    <x v="3"/>
    <x v="2"/>
    <x v="3"/>
    <x v="57"/>
    <x v="17"/>
    <x v="55"/>
    <x v="29"/>
  </r>
  <r>
    <x v="119"/>
    <x v="59"/>
    <x v="184"/>
    <x v="6"/>
    <x v="2"/>
    <x v="1"/>
    <x v="2"/>
    <x v="9"/>
    <x v="4"/>
    <x v="0"/>
    <x v="207"/>
    <x v="65"/>
    <x v="218"/>
    <x v="26"/>
  </r>
  <r>
    <x v="107"/>
    <x v="60"/>
    <x v="50"/>
    <x v="5"/>
    <x v="0"/>
    <x v="1"/>
    <x v="0"/>
    <x v="3"/>
    <x v="0"/>
    <x v="0"/>
    <x v="29"/>
    <x v="6"/>
    <x v="31"/>
    <x v="39"/>
  </r>
  <r>
    <x v="180"/>
    <x v="61"/>
    <x v="131"/>
    <x v="6"/>
    <x v="2"/>
    <x v="3"/>
    <x v="1"/>
    <x v="2"/>
    <x v="4"/>
    <x v="3"/>
    <x v="128"/>
    <x v="38"/>
    <x v="101"/>
    <x v="8"/>
  </r>
  <r>
    <x v="183"/>
    <x v="61"/>
    <x v="122"/>
    <x v="2"/>
    <x v="0"/>
    <x v="0"/>
    <x v="2"/>
    <x v="6"/>
    <x v="1"/>
    <x v="1"/>
    <x v="92"/>
    <x v="26"/>
    <x v="96"/>
    <x v="33"/>
  </r>
  <r>
    <x v="345"/>
    <x v="61"/>
    <x v="214"/>
    <x v="7"/>
    <x v="3"/>
    <x v="1"/>
    <x v="5"/>
    <x v="0"/>
    <x v="3"/>
    <x v="0"/>
    <x v="44"/>
    <x v="12"/>
    <x v="42"/>
    <x v="28"/>
  </r>
  <r>
    <x v="287"/>
    <x v="62"/>
    <x v="144"/>
    <x v="6"/>
    <x v="2"/>
    <x v="0"/>
    <x v="3"/>
    <x v="0"/>
    <x v="4"/>
    <x v="1"/>
    <x v="49"/>
    <x v="16"/>
    <x v="45"/>
    <x v="20"/>
  </r>
  <r>
    <x v="42"/>
    <x v="63"/>
    <x v="31"/>
    <x v="4"/>
    <x v="1"/>
    <x v="2"/>
    <x v="0"/>
    <x v="4"/>
    <x v="5"/>
    <x v="3"/>
    <x v="161"/>
    <x v="49"/>
    <x v="149"/>
    <x v="7"/>
  </r>
  <r>
    <x v="89"/>
    <x v="63"/>
    <x v="82"/>
    <x v="4"/>
    <x v="1"/>
    <x v="3"/>
    <x v="3"/>
    <x v="7"/>
    <x v="5"/>
    <x v="1"/>
    <x v="200"/>
    <x v="63"/>
    <x v="207"/>
    <x v="19"/>
  </r>
  <r>
    <x v="497"/>
    <x v="63"/>
    <x v="208"/>
    <x v="5"/>
    <x v="0"/>
    <x v="0"/>
    <x v="3"/>
    <x v="4"/>
    <x v="0"/>
    <x v="1"/>
    <x v="33"/>
    <x v="8"/>
    <x v="37"/>
    <x v="38"/>
  </r>
  <r>
    <x v="182"/>
    <x v="64"/>
    <x v="29"/>
    <x v="0"/>
    <x v="2"/>
    <x v="3"/>
    <x v="3"/>
    <x v="0"/>
    <x v="6"/>
    <x v="3"/>
    <x v="63"/>
    <x v="22"/>
    <x v="47"/>
    <x v="6"/>
  </r>
  <r>
    <x v="490"/>
    <x v="64"/>
    <x v="133"/>
    <x v="1"/>
    <x v="0"/>
    <x v="3"/>
    <x v="5"/>
    <x v="9"/>
    <x v="2"/>
    <x v="2"/>
    <x v="132"/>
    <x v="37"/>
    <x v="132"/>
    <x v="32"/>
  </r>
  <r>
    <x v="125"/>
    <x v="65"/>
    <x v="206"/>
    <x v="1"/>
    <x v="0"/>
    <x v="2"/>
    <x v="0"/>
    <x v="9"/>
    <x v="2"/>
    <x v="0"/>
    <x v="137"/>
    <x v="37"/>
    <x v="143"/>
    <x v="37"/>
  </r>
  <r>
    <x v="173"/>
    <x v="66"/>
    <x v="212"/>
    <x v="5"/>
    <x v="0"/>
    <x v="2"/>
    <x v="2"/>
    <x v="5"/>
    <x v="0"/>
    <x v="2"/>
    <x v="41"/>
    <x v="10"/>
    <x v="46"/>
    <x v="35"/>
  </r>
  <r>
    <x v="417"/>
    <x v="66"/>
    <x v="91"/>
    <x v="4"/>
    <x v="1"/>
    <x v="2"/>
    <x v="1"/>
    <x v="2"/>
    <x v="5"/>
    <x v="1"/>
    <x v="142"/>
    <x v="40"/>
    <x v="134"/>
    <x v="19"/>
  </r>
  <r>
    <x v="481"/>
    <x v="66"/>
    <x v="58"/>
    <x v="0"/>
    <x v="2"/>
    <x v="3"/>
    <x v="5"/>
    <x v="1"/>
    <x v="6"/>
    <x v="2"/>
    <x v="118"/>
    <x v="36"/>
    <x v="103"/>
    <x v="11"/>
  </r>
  <r>
    <x v="103"/>
    <x v="67"/>
    <x v="199"/>
    <x v="5"/>
    <x v="0"/>
    <x v="1"/>
    <x v="0"/>
    <x v="0"/>
    <x v="0"/>
    <x v="1"/>
    <x v="3"/>
    <x v="0"/>
    <x v="3"/>
    <x v="38"/>
  </r>
  <r>
    <x v="147"/>
    <x v="67"/>
    <x v="14"/>
    <x v="2"/>
    <x v="0"/>
    <x v="0"/>
    <x v="1"/>
    <x v="3"/>
    <x v="1"/>
    <x v="3"/>
    <x v="48"/>
    <x v="14"/>
    <x v="49"/>
    <x v="27"/>
  </r>
  <r>
    <x v="200"/>
    <x v="67"/>
    <x v="178"/>
    <x v="7"/>
    <x v="3"/>
    <x v="3"/>
    <x v="0"/>
    <x v="1"/>
    <x v="3"/>
    <x v="3"/>
    <x v="84"/>
    <x v="27"/>
    <x v="65"/>
    <x v="9"/>
  </r>
  <r>
    <x v="391"/>
    <x v="68"/>
    <x v="121"/>
    <x v="2"/>
    <x v="0"/>
    <x v="3"/>
    <x v="5"/>
    <x v="5"/>
    <x v="1"/>
    <x v="1"/>
    <x v="85"/>
    <x v="24"/>
    <x v="85"/>
    <x v="33"/>
  </r>
  <r>
    <x v="446"/>
    <x v="68"/>
    <x v="0"/>
    <x v="2"/>
    <x v="0"/>
    <x v="2"/>
    <x v="3"/>
    <x v="5"/>
    <x v="1"/>
    <x v="4"/>
    <x v="75"/>
    <x v="24"/>
    <x v="62"/>
    <x v="14"/>
  </r>
  <r>
    <x v="198"/>
    <x v="69"/>
    <x v="84"/>
    <x v="6"/>
    <x v="2"/>
    <x v="2"/>
    <x v="0"/>
    <x v="9"/>
    <x v="4"/>
    <x v="1"/>
    <x v="205"/>
    <x v="65"/>
    <x v="214"/>
    <x v="20"/>
  </r>
  <r>
    <x v="233"/>
    <x v="69"/>
    <x v="214"/>
    <x v="5"/>
    <x v="0"/>
    <x v="3"/>
    <x v="4"/>
    <x v="3"/>
    <x v="0"/>
    <x v="0"/>
    <x v="29"/>
    <x v="6"/>
    <x v="31"/>
    <x v="39"/>
  </r>
  <r>
    <x v="393"/>
    <x v="69"/>
    <x v="151"/>
    <x v="1"/>
    <x v="0"/>
    <x v="3"/>
    <x v="4"/>
    <x v="9"/>
    <x v="2"/>
    <x v="2"/>
    <x v="132"/>
    <x v="37"/>
    <x v="132"/>
    <x v="32"/>
  </r>
  <r>
    <x v="131"/>
    <x v="70"/>
    <x v="137"/>
    <x v="6"/>
    <x v="2"/>
    <x v="0"/>
    <x v="5"/>
    <x v="0"/>
    <x v="4"/>
    <x v="1"/>
    <x v="49"/>
    <x v="16"/>
    <x v="45"/>
    <x v="20"/>
  </r>
  <r>
    <x v="141"/>
    <x v="70"/>
    <x v="64"/>
    <x v="3"/>
    <x v="1"/>
    <x v="0"/>
    <x v="2"/>
    <x v="7"/>
    <x v="7"/>
    <x v="0"/>
    <x v="240"/>
    <x v="75"/>
    <x v="248"/>
    <x v="21"/>
  </r>
  <r>
    <x v="222"/>
    <x v="70"/>
    <x v="71"/>
    <x v="0"/>
    <x v="2"/>
    <x v="0"/>
    <x v="0"/>
    <x v="9"/>
    <x v="6"/>
    <x v="2"/>
    <x v="222"/>
    <x v="70"/>
    <x v="226"/>
    <x v="11"/>
  </r>
  <r>
    <x v="64"/>
    <x v="71"/>
    <x v="119"/>
    <x v="7"/>
    <x v="3"/>
    <x v="2"/>
    <x v="4"/>
    <x v="1"/>
    <x v="3"/>
    <x v="0"/>
    <x v="89"/>
    <x v="27"/>
    <x v="84"/>
    <x v="28"/>
  </r>
  <r>
    <x v="163"/>
    <x v="71"/>
    <x v="213"/>
    <x v="5"/>
    <x v="0"/>
    <x v="1"/>
    <x v="3"/>
    <x v="3"/>
    <x v="0"/>
    <x v="2"/>
    <x v="26"/>
    <x v="6"/>
    <x v="26"/>
    <x v="35"/>
  </r>
  <r>
    <x v="70"/>
    <x v="72"/>
    <x v="94"/>
    <x v="4"/>
    <x v="1"/>
    <x v="3"/>
    <x v="1"/>
    <x v="9"/>
    <x v="5"/>
    <x v="3"/>
    <x v="212"/>
    <x v="68"/>
    <x v="205"/>
    <x v="7"/>
  </r>
  <r>
    <x v="440"/>
    <x v="72"/>
    <x v="125"/>
    <x v="3"/>
    <x v="1"/>
    <x v="0"/>
    <x v="2"/>
    <x v="6"/>
    <x v="7"/>
    <x v="4"/>
    <x v="232"/>
    <x v="74"/>
    <x v="233"/>
    <x v="0"/>
  </r>
  <r>
    <x v="22"/>
    <x v="73"/>
    <x v="37"/>
    <x v="4"/>
    <x v="1"/>
    <x v="3"/>
    <x v="3"/>
    <x v="5"/>
    <x v="5"/>
    <x v="0"/>
    <x v="182"/>
    <x v="55"/>
    <x v="189"/>
    <x v="24"/>
  </r>
  <r>
    <x v="185"/>
    <x v="74"/>
    <x v="17"/>
    <x v="6"/>
    <x v="2"/>
    <x v="2"/>
    <x v="3"/>
    <x v="4"/>
    <x v="4"/>
    <x v="0"/>
    <x v="159"/>
    <x v="46"/>
    <x v="160"/>
    <x v="26"/>
  </r>
  <r>
    <x v="392"/>
    <x v="74"/>
    <x v="27"/>
    <x v="1"/>
    <x v="0"/>
    <x v="1"/>
    <x v="4"/>
    <x v="4"/>
    <x v="2"/>
    <x v="1"/>
    <x v="81"/>
    <x v="23"/>
    <x v="83"/>
    <x v="34"/>
  </r>
  <r>
    <x v="82"/>
    <x v="75"/>
    <x v="49"/>
    <x v="6"/>
    <x v="2"/>
    <x v="2"/>
    <x v="5"/>
    <x v="5"/>
    <x v="4"/>
    <x v="2"/>
    <x v="166"/>
    <x v="50"/>
    <x v="165"/>
    <x v="13"/>
  </r>
  <r>
    <x v="457"/>
    <x v="75"/>
    <x v="162"/>
    <x v="1"/>
    <x v="0"/>
    <x v="3"/>
    <x v="3"/>
    <x v="9"/>
    <x v="2"/>
    <x v="1"/>
    <x v="136"/>
    <x v="37"/>
    <x v="141"/>
    <x v="34"/>
  </r>
  <r>
    <x v="68"/>
    <x v="76"/>
    <x v="111"/>
    <x v="5"/>
    <x v="0"/>
    <x v="0"/>
    <x v="3"/>
    <x v="4"/>
    <x v="0"/>
    <x v="0"/>
    <x v="34"/>
    <x v="8"/>
    <x v="42"/>
    <x v="39"/>
  </r>
  <r>
    <x v="240"/>
    <x v="77"/>
    <x v="174"/>
    <x v="4"/>
    <x v="1"/>
    <x v="1"/>
    <x v="2"/>
    <x v="1"/>
    <x v="5"/>
    <x v="1"/>
    <x v="107"/>
    <x v="32"/>
    <x v="99"/>
    <x v="19"/>
  </r>
  <r>
    <x v="476"/>
    <x v="78"/>
    <x v="150"/>
    <x v="3"/>
    <x v="1"/>
    <x v="2"/>
    <x v="4"/>
    <x v="6"/>
    <x v="7"/>
    <x v="4"/>
    <x v="232"/>
    <x v="74"/>
    <x v="233"/>
    <x v="0"/>
  </r>
  <r>
    <x v="432"/>
    <x v="79"/>
    <x v="142"/>
    <x v="6"/>
    <x v="2"/>
    <x v="1"/>
    <x v="1"/>
    <x v="0"/>
    <x v="4"/>
    <x v="2"/>
    <x v="47"/>
    <x v="16"/>
    <x v="41"/>
    <x v="13"/>
  </r>
  <r>
    <x v="15"/>
    <x v="80"/>
    <x v="32"/>
    <x v="6"/>
    <x v="2"/>
    <x v="1"/>
    <x v="5"/>
    <x v="1"/>
    <x v="4"/>
    <x v="1"/>
    <x v="96"/>
    <x v="29"/>
    <x v="89"/>
    <x v="20"/>
  </r>
  <r>
    <x v="188"/>
    <x v="80"/>
    <x v="100"/>
    <x v="7"/>
    <x v="3"/>
    <x v="2"/>
    <x v="5"/>
    <x v="3"/>
    <x v="3"/>
    <x v="4"/>
    <x v="133"/>
    <x v="39"/>
    <x v="102"/>
    <x v="4"/>
  </r>
  <r>
    <x v="184"/>
    <x v="81"/>
    <x v="164"/>
    <x v="3"/>
    <x v="1"/>
    <x v="1"/>
    <x v="2"/>
    <x v="0"/>
    <x v="7"/>
    <x v="4"/>
    <x v="135"/>
    <x v="41"/>
    <x v="98"/>
    <x v="0"/>
  </r>
  <r>
    <x v="93"/>
    <x v="82"/>
    <x v="138"/>
    <x v="0"/>
    <x v="2"/>
    <x v="1"/>
    <x v="0"/>
    <x v="5"/>
    <x v="6"/>
    <x v="4"/>
    <x v="180"/>
    <x v="59"/>
    <x v="158"/>
    <x v="1"/>
  </r>
  <r>
    <x v="307"/>
    <x v="82"/>
    <x v="16"/>
    <x v="4"/>
    <x v="1"/>
    <x v="1"/>
    <x v="4"/>
    <x v="9"/>
    <x v="5"/>
    <x v="2"/>
    <x v="215"/>
    <x v="68"/>
    <x v="219"/>
    <x v="12"/>
  </r>
  <r>
    <x v="105"/>
    <x v="83"/>
    <x v="116"/>
    <x v="4"/>
    <x v="1"/>
    <x v="0"/>
    <x v="4"/>
    <x v="5"/>
    <x v="5"/>
    <x v="3"/>
    <x v="174"/>
    <x v="55"/>
    <x v="164"/>
    <x v="7"/>
  </r>
  <r>
    <x v="423"/>
    <x v="83"/>
    <x v="75"/>
    <x v="2"/>
    <x v="0"/>
    <x v="0"/>
    <x v="1"/>
    <x v="0"/>
    <x v="1"/>
    <x v="0"/>
    <x v="9"/>
    <x v="1"/>
    <x v="10"/>
    <x v="36"/>
  </r>
  <r>
    <x v="375"/>
    <x v="84"/>
    <x v="51"/>
    <x v="5"/>
    <x v="0"/>
    <x v="3"/>
    <x v="0"/>
    <x v="0"/>
    <x v="0"/>
    <x v="2"/>
    <x v="2"/>
    <x v="0"/>
    <x v="2"/>
    <x v="35"/>
  </r>
  <r>
    <x v="86"/>
    <x v="85"/>
    <x v="59"/>
    <x v="0"/>
    <x v="2"/>
    <x v="1"/>
    <x v="4"/>
    <x v="7"/>
    <x v="6"/>
    <x v="0"/>
    <x v="214"/>
    <x v="67"/>
    <x v="223"/>
    <x v="22"/>
  </r>
  <r>
    <x v="99"/>
    <x v="86"/>
    <x v="189"/>
    <x v="6"/>
    <x v="2"/>
    <x v="2"/>
    <x v="1"/>
    <x v="5"/>
    <x v="4"/>
    <x v="2"/>
    <x v="166"/>
    <x v="50"/>
    <x v="165"/>
    <x v="13"/>
  </r>
  <r>
    <x v="245"/>
    <x v="86"/>
    <x v="177"/>
    <x v="0"/>
    <x v="2"/>
    <x v="3"/>
    <x v="1"/>
    <x v="7"/>
    <x v="6"/>
    <x v="3"/>
    <x v="204"/>
    <x v="67"/>
    <x v="196"/>
    <x v="6"/>
  </r>
  <r>
    <x v="265"/>
    <x v="86"/>
    <x v="137"/>
    <x v="4"/>
    <x v="1"/>
    <x v="1"/>
    <x v="0"/>
    <x v="4"/>
    <x v="5"/>
    <x v="3"/>
    <x v="161"/>
    <x v="49"/>
    <x v="149"/>
    <x v="7"/>
  </r>
  <r>
    <x v="342"/>
    <x v="86"/>
    <x v="41"/>
    <x v="2"/>
    <x v="0"/>
    <x v="0"/>
    <x v="4"/>
    <x v="1"/>
    <x v="1"/>
    <x v="0"/>
    <x v="25"/>
    <x v="5"/>
    <x v="25"/>
    <x v="36"/>
  </r>
  <r>
    <x v="493"/>
    <x v="86"/>
    <x v="96"/>
    <x v="0"/>
    <x v="2"/>
    <x v="1"/>
    <x v="1"/>
    <x v="8"/>
    <x v="6"/>
    <x v="2"/>
    <x v="216"/>
    <x v="69"/>
    <x v="221"/>
    <x v="11"/>
  </r>
  <r>
    <x v="81"/>
    <x v="87"/>
    <x v="192"/>
    <x v="5"/>
    <x v="0"/>
    <x v="2"/>
    <x v="4"/>
    <x v="5"/>
    <x v="0"/>
    <x v="2"/>
    <x v="41"/>
    <x v="10"/>
    <x v="46"/>
    <x v="35"/>
  </r>
  <r>
    <x v="53"/>
    <x v="88"/>
    <x v="92"/>
    <x v="5"/>
    <x v="0"/>
    <x v="3"/>
    <x v="3"/>
    <x v="1"/>
    <x v="0"/>
    <x v="0"/>
    <x v="13"/>
    <x v="2"/>
    <x v="15"/>
    <x v="39"/>
  </r>
  <r>
    <x v="104"/>
    <x v="89"/>
    <x v="153"/>
    <x v="4"/>
    <x v="1"/>
    <x v="3"/>
    <x v="1"/>
    <x v="8"/>
    <x v="5"/>
    <x v="4"/>
    <x v="196"/>
    <x v="66"/>
    <x v="181"/>
    <x v="2"/>
  </r>
  <r>
    <x v="292"/>
    <x v="89"/>
    <x v="190"/>
    <x v="3"/>
    <x v="1"/>
    <x v="3"/>
    <x v="1"/>
    <x v="1"/>
    <x v="7"/>
    <x v="0"/>
    <x v="183"/>
    <x v="56"/>
    <x v="189"/>
    <x v="21"/>
  </r>
  <r>
    <x v="297"/>
    <x v="89"/>
    <x v="9"/>
    <x v="7"/>
    <x v="3"/>
    <x v="2"/>
    <x v="1"/>
    <x v="8"/>
    <x v="3"/>
    <x v="0"/>
    <x v="187"/>
    <x v="57"/>
    <x v="201"/>
    <x v="28"/>
  </r>
  <r>
    <x v="472"/>
    <x v="89"/>
    <x v="203"/>
    <x v="2"/>
    <x v="0"/>
    <x v="0"/>
    <x v="1"/>
    <x v="2"/>
    <x v="1"/>
    <x v="1"/>
    <x v="39"/>
    <x v="9"/>
    <x v="43"/>
    <x v="33"/>
  </r>
  <r>
    <x v="19"/>
    <x v="90"/>
    <x v="61"/>
    <x v="2"/>
    <x v="0"/>
    <x v="1"/>
    <x v="5"/>
    <x v="3"/>
    <x v="1"/>
    <x v="2"/>
    <x v="52"/>
    <x v="14"/>
    <x v="53"/>
    <x v="31"/>
  </r>
  <r>
    <x v="96"/>
    <x v="90"/>
    <x v="115"/>
    <x v="4"/>
    <x v="1"/>
    <x v="3"/>
    <x v="2"/>
    <x v="5"/>
    <x v="5"/>
    <x v="2"/>
    <x v="177"/>
    <x v="55"/>
    <x v="176"/>
    <x v="12"/>
  </r>
  <r>
    <x v="5"/>
    <x v="91"/>
    <x v="125"/>
    <x v="1"/>
    <x v="0"/>
    <x v="1"/>
    <x v="4"/>
    <x v="3"/>
    <x v="2"/>
    <x v="3"/>
    <x v="57"/>
    <x v="17"/>
    <x v="55"/>
    <x v="29"/>
  </r>
  <r>
    <x v="97"/>
    <x v="92"/>
    <x v="196"/>
    <x v="5"/>
    <x v="0"/>
    <x v="0"/>
    <x v="5"/>
    <x v="8"/>
    <x v="0"/>
    <x v="1"/>
    <x v="69"/>
    <x v="18"/>
    <x v="73"/>
    <x v="38"/>
  </r>
  <r>
    <x v="279"/>
    <x v="93"/>
    <x v="58"/>
    <x v="4"/>
    <x v="1"/>
    <x v="0"/>
    <x v="4"/>
    <x v="0"/>
    <x v="5"/>
    <x v="2"/>
    <x v="56"/>
    <x v="19"/>
    <x v="50"/>
    <x v="12"/>
  </r>
  <r>
    <x v="246"/>
    <x v="94"/>
    <x v="53"/>
    <x v="3"/>
    <x v="1"/>
    <x v="1"/>
    <x v="0"/>
    <x v="7"/>
    <x v="7"/>
    <x v="2"/>
    <x v="238"/>
    <x v="75"/>
    <x v="244"/>
    <x v="10"/>
  </r>
  <r>
    <x v="398"/>
    <x v="94"/>
    <x v="120"/>
    <x v="1"/>
    <x v="0"/>
    <x v="1"/>
    <x v="4"/>
    <x v="3"/>
    <x v="2"/>
    <x v="0"/>
    <x v="67"/>
    <x v="17"/>
    <x v="70"/>
    <x v="37"/>
  </r>
  <r>
    <x v="460"/>
    <x v="94"/>
    <x v="35"/>
    <x v="4"/>
    <x v="1"/>
    <x v="2"/>
    <x v="3"/>
    <x v="0"/>
    <x v="5"/>
    <x v="2"/>
    <x v="56"/>
    <x v="19"/>
    <x v="50"/>
    <x v="12"/>
  </r>
  <r>
    <x v="308"/>
    <x v="95"/>
    <x v="86"/>
    <x v="1"/>
    <x v="0"/>
    <x v="1"/>
    <x v="3"/>
    <x v="6"/>
    <x v="2"/>
    <x v="3"/>
    <x v="97"/>
    <x v="28"/>
    <x v="95"/>
    <x v="29"/>
  </r>
  <r>
    <x v="271"/>
    <x v="96"/>
    <x v="43"/>
    <x v="1"/>
    <x v="0"/>
    <x v="0"/>
    <x v="1"/>
    <x v="5"/>
    <x v="2"/>
    <x v="2"/>
    <x v="90"/>
    <x v="25"/>
    <x v="91"/>
    <x v="32"/>
  </r>
  <r>
    <x v="346"/>
    <x v="96"/>
    <x v="134"/>
    <x v="2"/>
    <x v="0"/>
    <x v="1"/>
    <x v="5"/>
    <x v="8"/>
    <x v="1"/>
    <x v="2"/>
    <x v="109"/>
    <x v="30"/>
    <x v="113"/>
    <x v="31"/>
  </r>
  <r>
    <x v="462"/>
    <x v="97"/>
    <x v="88"/>
    <x v="0"/>
    <x v="2"/>
    <x v="1"/>
    <x v="2"/>
    <x v="4"/>
    <x v="6"/>
    <x v="0"/>
    <x v="178"/>
    <x v="52"/>
    <x v="183"/>
    <x v="22"/>
  </r>
  <r>
    <x v="261"/>
    <x v="98"/>
    <x v="179"/>
    <x v="0"/>
    <x v="2"/>
    <x v="2"/>
    <x v="2"/>
    <x v="5"/>
    <x v="6"/>
    <x v="0"/>
    <x v="188"/>
    <x v="59"/>
    <x v="199"/>
    <x v="22"/>
  </r>
  <r>
    <x v="294"/>
    <x v="98"/>
    <x v="96"/>
    <x v="4"/>
    <x v="1"/>
    <x v="0"/>
    <x v="2"/>
    <x v="1"/>
    <x v="5"/>
    <x v="2"/>
    <x v="105"/>
    <x v="32"/>
    <x v="94"/>
    <x v="12"/>
  </r>
  <r>
    <x v="40"/>
    <x v="99"/>
    <x v="97"/>
    <x v="2"/>
    <x v="0"/>
    <x v="3"/>
    <x v="4"/>
    <x v="0"/>
    <x v="1"/>
    <x v="1"/>
    <x v="8"/>
    <x v="1"/>
    <x v="9"/>
    <x v="33"/>
  </r>
  <r>
    <x v="41"/>
    <x v="100"/>
    <x v="92"/>
    <x v="7"/>
    <x v="3"/>
    <x v="2"/>
    <x v="5"/>
    <x v="7"/>
    <x v="3"/>
    <x v="1"/>
    <x v="181"/>
    <x v="53"/>
    <x v="185"/>
    <x v="23"/>
  </r>
  <r>
    <x v="330"/>
    <x v="100"/>
    <x v="65"/>
    <x v="3"/>
    <x v="1"/>
    <x v="2"/>
    <x v="0"/>
    <x v="0"/>
    <x v="7"/>
    <x v="0"/>
    <x v="145"/>
    <x v="41"/>
    <x v="139"/>
    <x v="21"/>
  </r>
  <r>
    <x v="79"/>
    <x v="101"/>
    <x v="87"/>
    <x v="5"/>
    <x v="0"/>
    <x v="0"/>
    <x v="3"/>
    <x v="5"/>
    <x v="0"/>
    <x v="2"/>
    <x v="41"/>
    <x v="10"/>
    <x v="46"/>
    <x v="35"/>
  </r>
  <r>
    <x v="118"/>
    <x v="101"/>
    <x v="195"/>
    <x v="1"/>
    <x v="0"/>
    <x v="2"/>
    <x v="4"/>
    <x v="3"/>
    <x v="2"/>
    <x v="3"/>
    <x v="57"/>
    <x v="17"/>
    <x v="55"/>
    <x v="29"/>
  </r>
  <r>
    <x v="231"/>
    <x v="101"/>
    <x v="128"/>
    <x v="5"/>
    <x v="0"/>
    <x v="2"/>
    <x v="4"/>
    <x v="6"/>
    <x v="0"/>
    <x v="4"/>
    <x v="43"/>
    <x v="13"/>
    <x v="39"/>
    <x v="25"/>
  </r>
  <r>
    <x v="237"/>
    <x v="101"/>
    <x v="113"/>
    <x v="0"/>
    <x v="2"/>
    <x v="3"/>
    <x v="1"/>
    <x v="0"/>
    <x v="6"/>
    <x v="4"/>
    <x v="58"/>
    <x v="22"/>
    <x v="35"/>
    <x v="1"/>
  </r>
  <r>
    <x v="334"/>
    <x v="101"/>
    <x v="90"/>
    <x v="0"/>
    <x v="2"/>
    <x v="1"/>
    <x v="0"/>
    <x v="0"/>
    <x v="6"/>
    <x v="0"/>
    <x v="73"/>
    <x v="22"/>
    <x v="64"/>
    <x v="22"/>
  </r>
  <r>
    <x v="85"/>
    <x v="102"/>
    <x v="21"/>
    <x v="2"/>
    <x v="0"/>
    <x v="1"/>
    <x v="1"/>
    <x v="1"/>
    <x v="1"/>
    <x v="2"/>
    <x v="22"/>
    <x v="5"/>
    <x v="21"/>
    <x v="31"/>
  </r>
  <r>
    <x v="275"/>
    <x v="102"/>
    <x v="67"/>
    <x v="5"/>
    <x v="0"/>
    <x v="0"/>
    <x v="1"/>
    <x v="8"/>
    <x v="0"/>
    <x v="1"/>
    <x v="69"/>
    <x v="18"/>
    <x v="73"/>
    <x v="38"/>
  </r>
  <r>
    <x v="356"/>
    <x v="102"/>
    <x v="148"/>
    <x v="4"/>
    <x v="1"/>
    <x v="3"/>
    <x v="4"/>
    <x v="2"/>
    <x v="5"/>
    <x v="0"/>
    <x v="144"/>
    <x v="40"/>
    <x v="139"/>
    <x v="24"/>
  </r>
  <r>
    <x v="406"/>
    <x v="102"/>
    <x v="34"/>
    <x v="0"/>
    <x v="2"/>
    <x v="2"/>
    <x v="0"/>
    <x v="8"/>
    <x v="6"/>
    <x v="1"/>
    <x v="219"/>
    <x v="69"/>
    <x v="225"/>
    <x v="18"/>
  </r>
  <r>
    <x v="252"/>
    <x v="103"/>
    <x v="150"/>
    <x v="5"/>
    <x v="0"/>
    <x v="3"/>
    <x v="4"/>
    <x v="9"/>
    <x v="0"/>
    <x v="0"/>
    <x v="78"/>
    <x v="21"/>
    <x v="84"/>
    <x v="39"/>
  </r>
  <r>
    <x v="378"/>
    <x v="103"/>
    <x v="187"/>
    <x v="4"/>
    <x v="1"/>
    <x v="3"/>
    <x v="3"/>
    <x v="2"/>
    <x v="5"/>
    <x v="0"/>
    <x v="144"/>
    <x v="40"/>
    <x v="139"/>
    <x v="24"/>
  </r>
  <r>
    <x v="84"/>
    <x v="104"/>
    <x v="110"/>
    <x v="7"/>
    <x v="3"/>
    <x v="1"/>
    <x v="0"/>
    <x v="4"/>
    <x v="3"/>
    <x v="2"/>
    <x v="150"/>
    <x v="44"/>
    <x v="144"/>
    <x v="16"/>
  </r>
  <r>
    <x v="146"/>
    <x v="104"/>
    <x v="128"/>
    <x v="2"/>
    <x v="0"/>
    <x v="3"/>
    <x v="4"/>
    <x v="3"/>
    <x v="1"/>
    <x v="2"/>
    <x v="52"/>
    <x v="14"/>
    <x v="53"/>
    <x v="31"/>
  </r>
  <r>
    <x v="324"/>
    <x v="104"/>
    <x v="35"/>
    <x v="0"/>
    <x v="2"/>
    <x v="3"/>
    <x v="1"/>
    <x v="1"/>
    <x v="6"/>
    <x v="2"/>
    <x v="118"/>
    <x v="36"/>
    <x v="103"/>
    <x v="11"/>
  </r>
  <r>
    <x v="299"/>
    <x v="105"/>
    <x v="8"/>
    <x v="1"/>
    <x v="0"/>
    <x v="0"/>
    <x v="2"/>
    <x v="7"/>
    <x v="2"/>
    <x v="3"/>
    <x v="106"/>
    <x v="31"/>
    <x v="105"/>
    <x v="29"/>
  </r>
  <r>
    <x v="316"/>
    <x v="106"/>
    <x v="58"/>
    <x v="2"/>
    <x v="0"/>
    <x v="1"/>
    <x v="4"/>
    <x v="4"/>
    <x v="1"/>
    <x v="3"/>
    <x v="64"/>
    <x v="20"/>
    <x v="58"/>
    <x v="27"/>
  </r>
  <r>
    <x v="54"/>
    <x v="107"/>
    <x v="86"/>
    <x v="7"/>
    <x v="3"/>
    <x v="0"/>
    <x v="3"/>
    <x v="2"/>
    <x v="3"/>
    <x v="2"/>
    <x v="115"/>
    <x v="35"/>
    <x v="106"/>
    <x v="16"/>
  </r>
  <r>
    <x v="18"/>
    <x v="108"/>
    <x v="72"/>
    <x v="1"/>
    <x v="0"/>
    <x v="0"/>
    <x v="1"/>
    <x v="2"/>
    <x v="2"/>
    <x v="3"/>
    <x v="42"/>
    <x v="11"/>
    <x v="40"/>
    <x v="29"/>
  </r>
  <r>
    <x v="202"/>
    <x v="108"/>
    <x v="98"/>
    <x v="7"/>
    <x v="3"/>
    <x v="1"/>
    <x v="4"/>
    <x v="1"/>
    <x v="3"/>
    <x v="3"/>
    <x v="84"/>
    <x v="27"/>
    <x v="65"/>
    <x v="9"/>
  </r>
  <r>
    <x v="236"/>
    <x v="108"/>
    <x v="154"/>
    <x v="0"/>
    <x v="2"/>
    <x v="2"/>
    <x v="0"/>
    <x v="5"/>
    <x v="6"/>
    <x v="0"/>
    <x v="188"/>
    <x v="59"/>
    <x v="199"/>
    <x v="22"/>
  </r>
  <r>
    <x v="478"/>
    <x v="108"/>
    <x v="69"/>
    <x v="3"/>
    <x v="1"/>
    <x v="1"/>
    <x v="3"/>
    <x v="4"/>
    <x v="7"/>
    <x v="2"/>
    <x v="228"/>
    <x v="72"/>
    <x v="234"/>
    <x v="10"/>
  </r>
  <r>
    <x v="158"/>
    <x v="109"/>
    <x v="13"/>
    <x v="3"/>
    <x v="1"/>
    <x v="2"/>
    <x v="5"/>
    <x v="8"/>
    <x v="7"/>
    <x v="1"/>
    <x v="243"/>
    <x v="76"/>
    <x v="249"/>
    <x v="17"/>
  </r>
  <r>
    <x v="201"/>
    <x v="109"/>
    <x v="180"/>
    <x v="1"/>
    <x v="0"/>
    <x v="2"/>
    <x v="0"/>
    <x v="3"/>
    <x v="2"/>
    <x v="1"/>
    <x v="65"/>
    <x v="17"/>
    <x v="66"/>
    <x v="34"/>
  </r>
  <r>
    <x v="49"/>
    <x v="110"/>
    <x v="86"/>
    <x v="0"/>
    <x v="2"/>
    <x v="1"/>
    <x v="2"/>
    <x v="2"/>
    <x v="6"/>
    <x v="4"/>
    <x v="141"/>
    <x v="43"/>
    <x v="108"/>
    <x v="1"/>
  </r>
  <r>
    <x v="117"/>
    <x v="111"/>
    <x v="186"/>
    <x v="0"/>
    <x v="2"/>
    <x v="1"/>
    <x v="1"/>
    <x v="0"/>
    <x v="6"/>
    <x v="0"/>
    <x v="73"/>
    <x v="22"/>
    <x v="64"/>
    <x v="22"/>
  </r>
  <r>
    <x v="420"/>
    <x v="111"/>
    <x v="108"/>
    <x v="4"/>
    <x v="1"/>
    <x v="0"/>
    <x v="2"/>
    <x v="3"/>
    <x v="5"/>
    <x v="0"/>
    <x v="155"/>
    <x v="45"/>
    <x v="154"/>
    <x v="24"/>
  </r>
  <r>
    <x v="20"/>
    <x v="112"/>
    <x v="45"/>
    <x v="0"/>
    <x v="2"/>
    <x v="2"/>
    <x v="5"/>
    <x v="6"/>
    <x v="6"/>
    <x v="0"/>
    <x v="201"/>
    <x v="64"/>
    <x v="212"/>
    <x v="22"/>
  </r>
  <r>
    <x v="489"/>
    <x v="112"/>
    <x v="205"/>
    <x v="6"/>
    <x v="2"/>
    <x v="1"/>
    <x v="2"/>
    <x v="6"/>
    <x v="4"/>
    <x v="4"/>
    <x v="171"/>
    <x v="54"/>
    <x v="150"/>
    <x v="3"/>
  </r>
  <r>
    <x v="340"/>
    <x v="113"/>
    <x v="200"/>
    <x v="2"/>
    <x v="0"/>
    <x v="3"/>
    <x v="4"/>
    <x v="9"/>
    <x v="1"/>
    <x v="2"/>
    <x v="121"/>
    <x v="33"/>
    <x v="122"/>
    <x v="31"/>
  </r>
  <r>
    <x v="83"/>
    <x v="114"/>
    <x v="212"/>
    <x v="1"/>
    <x v="0"/>
    <x v="3"/>
    <x v="5"/>
    <x v="4"/>
    <x v="2"/>
    <x v="2"/>
    <x v="80"/>
    <x v="23"/>
    <x v="78"/>
    <x v="32"/>
  </r>
  <r>
    <x v="156"/>
    <x v="115"/>
    <x v="182"/>
    <x v="7"/>
    <x v="3"/>
    <x v="2"/>
    <x v="1"/>
    <x v="5"/>
    <x v="3"/>
    <x v="0"/>
    <x v="161"/>
    <x v="47"/>
    <x v="167"/>
    <x v="28"/>
  </r>
  <r>
    <x v="312"/>
    <x v="115"/>
    <x v="210"/>
    <x v="5"/>
    <x v="0"/>
    <x v="0"/>
    <x v="1"/>
    <x v="0"/>
    <x v="0"/>
    <x v="2"/>
    <x v="2"/>
    <x v="0"/>
    <x v="2"/>
    <x v="35"/>
  </r>
  <r>
    <x v="491"/>
    <x v="115"/>
    <x v="143"/>
    <x v="6"/>
    <x v="2"/>
    <x v="1"/>
    <x v="2"/>
    <x v="8"/>
    <x v="4"/>
    <x v="2"/>
    <x v="193"/>
    <x v="62"/>
    <x v="198"/>
    <x v="13"/>
  </r>
  <r>
    <x v="2"/>
    <x v="116"/>
    <x v="105"/>
    <x v="6"/>
    <x v="2"/>
    <x v="2"/>
    <x v="5"/>
    <x v="3"/>
    <x v="4"/>
    <x v="2"/>
    <x v="147"/>
    <x v="42"/>
    <x v="140"/>
    <x v="13"/>
  </r>
  <r>
    <x v="422"/>
    <x v="117"/>
    <x v="7"/>
    <x v="0"/>
    <x v="2"/>
    <x v="1"/>
    <x v="1"/>
    <x v="1"/>
    <x v="6"/>
    <x v="3"/>
    <x v="112"/>
    <x v="36"/>
    <x v="90"/>
    <x v="6"/>
  </r>
  <r>
    <x v="160"/>
    <x v="118"/>
    <x v="56"/>
    <x v="7"/>
    <x v="3"/>
    <x v="2"/>
    <x v="0"/>
    <x v="9"/>
    <x v="3"/>
    <x v="2"/>
    <x v="191"/>
    <x v="61"/>
    <x v="197"/>
    <x v="16"/>
  </r>
  <r>
    <x v="247"/>
    <x v="118"/>
    <x v="62"/>
    <x v="3"/>
    <x v="1"/>
    <x v="3"/>
    <x v="1"/>
    <x v="3"/>
    <x v="7"/>
    <x v="2"/>
    <x v="225"/>
    <x v="71"/>
    <x v="229"/>
    <x v="10"/>
  </r>
  <r>
    <x v="193"/>
    <x v="119"/>
    <x v="197"/>
    <x v="7"/>
    <x v="3"/>
    <x v="3"/>
    <x v="0"/>
    <x v="1"/>
    <x v="3"/>
    <x v="0"/>
    <x v="89"/>
    <x v="27"/>
    <x v="84"/>
    <x v="28"/>
  </r>
  <r>
    <x v="322"/>
    <x v="119"/>
    <x v="55"/>
    <x v="5"/>
    <x v="0"/>
    <x v="1"/>
    <x v="5"/>
    <x v="9"/>
    <x v="0"/>
    <x v="3"/>
    <x v="71"/>
    <x v="21"/>
    <x v="67"/>
    <x v="30"/>
  </r>
  <r>
    <x v="344"/>
    <x v="119"/>
    <x v="16"/>
    <x v="2"/>
    <x v="0"/>
    <x v="3"/>
    <x v="3"/>
    <x v="8"/>
    <x v="1"/>
    <x v="2"/>
    <x v="109"/>
    <x v="30"/>
    <x v="113"/>
    <x v="31"/>
  </r>
  <r>
    <x v="269"/>
    <x v="120"/>
    <x v="121"/>
    <x v="2"/>
    <x v="0"/>
    <x v="3"/>
    <x v="3"/>
    <x v="7"/>
    <x v="1"/>
    <x v="0"/>
    <x v="103"/>
    <x v="28"/>
    <x v="112"/>
    <x v="36"/>
  </r>
  <r>
    <x v="403"/>
    <x v="120"/>
    <x v="96"/>
    <x v="3"/>
    <x v="1"/>
    <x v="2"/>
    <x v="2"/>
    <x v="6"/>
    <x v="7"/>
    <x v="0"/>
    <x v="236"/>
    <x v="74"/>
    <x v="245"/>
    <x v="21"/>
  </r>
  <r>
    <x v="453"/>
    <x v="121"/>
    <x v="162"/>
    <x v="0"/>
    <x v="2"/>
    <x v="1"/>
    <x v="4"/>
    <x v="9"/>
    <x v="6"/>
    <x v="2"/>
    <x v="222"/>
    <x v="70"/>
    <x v="226"/>
    <x v="11"/>
  </r>
  <r>
    <x v="286"/>
    <x v="122"/>
    <x v="73"/>
    <x v="3"/>
    <x v="1"/>
    <x v="0"/>
    <x v="1"/>
    <x v="0"/>
    <x v="7"/>
    <x v="1"/>
    <x v="143"/>
    <x v="41"/>
    <x v="133"/>
    <x v="17"/>
  </r>
  <r>
    <x v="167"/>
    <x v="123"/>
    <x v="171"/>
    <x v="7"/>
    <x v="3"/>
    <x v="3"/>
    <x v="4"/>
    <x v="6"/>
    <x v="3"/>
    <x v="0"/>
    <x v="173"/>
    <x v="51"/>
    <x v="178"/>
    <x v="28"/>
  </r>
  <r>
    <x v="262"/>
    <x v="123"/>
    <x v="23"/>
    <x v="6"/>
    <x v="2"/>
    <x v="2"/>
    <x v="1"/>
    <x v="3"/>
    <x v="4"/>
    <x v="4"/>
    <x v="141"/>
    <x v="42"/>
    <x v="109"/>
    <x v="3"/>
  </r>
  <r>
    <x v="27"/>
    <x v="124"/>
    <x v="180"/>
    <x v="4"/>
    <x v="1"/>
    <x v="1"/>
    <x v="1"/>
    <x v="1"/>
    <x v="5"/>
    <x v="0"/>
    <x v="110"/>
    <x v="32"/>
    <x v="105"/>
    <x v="24"/>
  </r>
  <r>
    <x v="60"/>
    <x v="124"/>
    <x v="15"/>
    <x v="2"/>
    <x v="0"/>
    <x v="0"/>
    <x v="1"/>
    <x v="8"/>
    <x v="1"/>
    <x v="2"/>
    <x v="109"/>
    <x v="30"/>
    <x v="113"/>
    <x v="31"/>
  </r>
  <r>
    <x v="263"/>
    <x v="124"/>
    <x v="7"/>
    <x v="3"/>
    <x v="1"/>
    <x v="3"/>
    <x v="2"/>
    <x v="8"/>
    <x v="7"/>
    <x v="2"/>
    <x v="242"/>
    <x v="76"/>
    <x v="247"/>
    <x v="10"/>
  </r>
  <r>
    <x v="498"/>
    <x v="124"/>
    <x v="122"/>
    <x v="3"/>
    <x v="1"/>
    <x v="0"/>
    <x v="5"/>
    <x v="1"/>
    <x v="7"/>
    <x v="3"/>
    <x v="176"/>
    <x v="56"/>
    <x v="163"/>
    <x v="5"/>
  </r>
  <r>
    <x v="36"/>
    <x v="125"/>
    <x v="113"/>
    <x v="5"/>
    <x v="0"/>
    <x v="3"/>
    <x v="0"/>
    <x v="1"/>
    <x v="0"/>
    <x v="4"/>
    <x v="5"/>
    <x v="2"/>
    <x v="5"/>
    <x v="25"/>
  </r>
  <r>
    <x v="293"/>
    <x v="125"/>
    <x v="52"/>
    <x v="4"/>
    <x v="1"/>
    <x v="0"/>
    <x v="5"/>
    <x v="7"/>
    <x v="5"/>
    <x v="0"/>
    <x v="201"/>
    <x v="63"/>
    <x v="213"/>
    <x v="24"/>
  </r>
  <r>
    <x v="311"/>
    <x v="125"/>
    <x v="137"/>
    <x v="7"/>
    <x v="3"/>
    <x v="0"/>
    <x v="0"/>
    <x v="4"/>
    <x v="3"/>
    <x v="1"/>
    <x v="151"/>
    <x v="44"/>
    <x v="148"/>
    <x v="23"/>
  </r>
  <r>
    <x v="313"/>
    <x v="125"/>
    <x v="174"/>
    <x v="7"/>
    <x v="3"/>
    <x v="3"/>
    <x v="5"/>
    <x v="6"/>
    <x v="3"/>
    <x v="2"/>
    <x v="168"/>
    <x v="51"/>
    <x v="169"/>
    <x v="16"/>
  </r>
  <r>
    <x v="411"/>
    <x v="125"/>
    <x v="30"/>
    <x v="1"/>
    <x v="0"/>
    <x v="0"/>
    <x v="1"/>
    <x v="5"/>
    <x v="2"/>
    <x v="0"/>
    <x v="93"/>
    <x v="25"/>
    <x v="100"/>
    <x v="37"/>
  </r>
  <r>
    <x v="13"/>
    <x v="126"/>
    <x v="130"/>
    <x v="2"/>
    <x v="0"/>
    <x v="1"/>
    <x v="1"/>
    <x v="9"/>
    <x v="1"/>
    <x v="1"/>
    <x v="124"/>
    <x v="33"/>
    <x v="128"/>
    <x v="33"/>
  </r>
  <r>
    <x v="260"/>
    <x v="126"/>
    <x v="143"/>
    <x v="3"/>
    <x v="1"/>
    <x v="2"/>
    <x v="3"/>
    <x v="8"/>
    <x v="7"/>
    <x v="2"/>
    <x v="242"/>
    <x v="76"/>
    <x v="247"/>
    <x v="10"/>
  </r>
  <r>
    <x v="25"/>
    <x v="127"/>
    <x v="204"/>
    <x v="0"/>
    <x v="2"/>
    <x v="0"/>
    <x v="2"/>
    <x v="6"/>
    <x v="6"/>
    <x v="0"/>
    <x v="201"/>
    <x v="64"/>
    <x v="212"/>
    <x v="22"/>
  </r>
  <r>
    <x v="197"/>
    <x v="128"/>
    <x v="118"/>
    <x v="5"/>
    <x v="0"/>
    <x v="1"/>
    <x v="0"/>
    <x v="3"/>
    <x v="0"/>
    <x v="1"/>
    <x v="28"/>
    <x v="6"/>
    <x v="29"/>
    <x v="38"/>
  </r>
  <r>
    <x v="221"/>
    <x v="128"/>
    <x v="67"/>
    <x v="2"/>
    <x v="0"/>
    <x v="0"/>
    <x v="2"/>
    <x v="6"/>
    <x v="1"/>
    <x v="1"/>
    <x v="92"/>
    <x v="26"/>
    <x v="96"/>
    <x v="33"/>
  </r>
  <r>
    <x v="381"/>
    <x v="128"/>
    <x v="181"/>
    <x v="0"/>
    <x v="2"/>
    <x v="1"/>
    <x v="4"/>
    <x v="2"/>
    <x v="6"/>
    <x v="0"/>
    <x v="149"/>
    <x v="43"/>
    <x v="145"/>
    <x v="22"/>
  </r>
  <r>
    <x v="390"/>
    <x v="128"/>
    <x v="143"/>
    <x v="2"/>
    <x v="0"/>
    <x v="3"/>
    <x v="2"/>
    <x v="1"/>
    <x v="1"/>
    <x v="0"/>
    <x v="25"/>
    <x v="5"/>
    <x v="25"/>
    <x v="36"/>
  </r>
  <r>
    <x v="159"/>
    <x v="129"/>
    <x v="138"/>
    <x v="5"/>
    <x v="0"/>
    <x v="3"/>
    <x v="2"/>
    <x v="2"/>
    <x v="0"/>
    <x v="3"/>
    <x v="17"/>
    <x v="4"/>
    <x v="17"/>
    <x v="30"/>
  </r>
  <r>
    <x v="349"/>
    <x v="129"/>
    <x v="45"/>
    <x v="7"/>
    <x v="3"/>
    <x v="3"/>
    <x v="4"/>
    <x v="4"/>
    <x v="3"/>
    <x v="0"/>
    <x v="152"/>
    <x v="44"/>
    <x v="152"/>
    <x v="28"/>
  </r>
  <r>
    <x v="162"/>
    <x v="130"/>
    <x v="143"/>
    <x v="1"/>
    <x v="0"/>
    <x v="2"/>
    <x v="4"/>
    <x v="6"/>
    <x v="2"/>
    <x v="0"/>
    <x v="104"/>
    <x v="28"/>
    <x v="115"/>
    <x v="37"/>
  </r>
  <r>
    <x v="59"/>
    <x v="131"/>
    <x v="211"/>
    <x v="6"/>
    <x v="2"/>
    <x v="2"/>
    <x v="1"/>
    <x v="7"/>
    <x v="4"/>
    <x v="2"/>
    <x v="185"/>
    <x v="58"/>
    <x v="190"/>
    <x v="13"/>
  </r>
  <r>
    <x v="143"/>
    <x v="131"/>
    <x v="18"/>
    <x v="1"/>
    <x v="0"/>
    <x v="3"/>
    <x v="3"/>
    <x v="1"/>
    <x v="2"/>
    <x v="0"/>
    <x v="31"/>
    <x v="7"/>
    <x v="32"/>
    <x v="37"/>
  </r>
  <r>
    <x v="241"/>
    <x v="132"/>
    <x v="22"/>
    <x v="7"/>
    <x v="3"/>
    <x v="3"/>
    <x v="1"/>
    <x v="2"/>
    <x v="3"/>
    <x v="0"/>
    <x v="123"/>
    <x v="35"/>
    <x v="120"/>
    <x v="28"/>
  </r>
  <r>
    <x v="285"/>
    <x v="133"/>
    <x v="95"/>
    <x v="2"/>
    <x v="0"/>
    <x v="1"/>
    <x v="4"/>
    <x v="4"/>
    <x v="1"/>
    <x v="0"/>
    <x v="74"/>
    <x v="20"/>
    <x v="75"/>
    <x v="36"/>
  </r>
  <r>
    <x v="207"/>
    <x v="134"/>
    <x v="161"/>
    <x v="5"/>
    <x v="0"/>
    <x v="1"/>
    <x v="2"/>
    <x v="9"/>
    <x v="0"/>
    <x v="0"/>
    <x v="78"/>
    <x v="21"/>
    <x v="84"/>
    <x v="39"/>
  </r>
  <r>
    <x v="479"/>
    <x v="134"/>
    <x v="124"/>
    <x v="5"/>
    <x v="0"/>
    <x v="0"/>
    <x v="1"/>
    <x v="0"/>
    <x v="0"/>
    <x v="1"/>
    <x v="3"/>
    <x v="0"/>
    <x v="3"/>
    <x v="38"/>
  </r>
  <r>
    <x v="463"/>
    <x v="135"/>
    <x v="189"/>
    <x v="3"/>
    <x v="1"/>
    <x v="0"/>
    <x v="4"/>
    <x v="3"/>
    <x v="7"/>
    <x v="3"/>
    <x v="223"/>
    <x v="71"/>
    <x v="220"/>
    <x v="5"/>
  </r>
  <r>
    <x v="484"/>
    <x v="135"/>
    <x v="109"/>
    <x v="6"/>
    <x v="2"/>
    <x v="3"/>
    <x v="0"/>
    <x v="4"/>
    <x v="4"/>
    <x v="0"/>
    <x v="159"/>
    <x v="46"/>
    <x v="160"/>
    <x v="26"/>
  </r>
  <r>
    <x v="120"/>
    <x v="136"/>
    <x v="113"/>
    <x v="1"/>
    <x v="0"/>
    <x v="1"/>
    <x v="5"/>
    <x v="5"/>
    <x v="2"/>
    <x v="0"/>
    <x v="93"/>
    <x v="25"/>
    <x v="100"/>
    <x v="37"/>
  </r>
  <r>
    <x v="50"/>
    <x v="137"/>
    <x v="136"/>
    <x v="7"/>
    <x v="3"/>
    <x v="2"/>
    <x v="5"/>
    <x v="0"/>
    <x v="3"/>
    <x v="0"/>
    <x v="44"/>
    <x v="12"/>
    <x v="42"/>
    <x v="28"/>
  </r>
  <r>
    <x v="243"/>
    <x v="137"/>
    <x v="148"/>
    <x v="3"/>
    <x v="1"/>
    <x v="2"/>
    <x v="4"/>
    <x v="4"/>
    <x v="7"/>
    <x v="0"/>
    <x v="229"/>
    <x v="72"/>
    <x v="235"/>
    <x v="21"/>
  </r>
  <r>
    <x v="347"/>
    <x v="137"/>
    <x v="154"/>
    <x v="5"/>
    <x v="0"/>
    <x v="0"/>
    <x v="2"/>
    <x v="8"/>
    <x v="0"/>
    <x v="2"/>
    <x v="66"/>
    <x v="18"/>
    <x v="69"/>
    <x v="35"/>
  </r>
  <r>
    <x v="219"/>
    <x v="138"/>
    <x v="125"/>
    <x v="7"/>
    <x v="3"/>
    <x v="3"/>
    <x v="3"/>
    <x v="7"/>
    <x v="3"/>
    <x v="3"/>
    <x v="174"/>
    <x v="53"/>
    <x v="168"/>
    <x v="9"/>
  </r>
  <r>
    <x v="110"/>
    <x v="139"/>
    <x v="119"/>
    <x v="1"/>
    <x v="0"/>
    <x v="3"/>
    <x v="2"/>
    <x v="7"/>
    <x v="2"/>
    <x v="0"/>
    <x v="116"/>
    <x v="31"/>
    <x v="125"/>
    <x v="37"/>
  </r>
  <r>
    <x v="52"/>
    <x v="140"/>
    <x v="151"/>
    <x v="2"/>
    <x v="0"/>
    <x v="0"/>
    <x v="2"/>
    <x v="5"/>
    <x v="1"/>
    <x v="3"/>
    <x v="79"/>
    <x v="24"/>
    <x v="71"/>
    <x v="27"/>
  </r>
  <r>
    <x v="203"/>
    <x v="140"/>
    <x v="194"/>
    <x v="3"/>
    <x v="1"/>
    <x v="0"/>
    <x v="2"/>
    <x v="1"/>
    <x v="7"/>
    <x v="0"/>
    <x v="183"/>
    <x v="56"/>
    <x v="189"/>
    <x v="21"/>
  </r>
  <r>
    <x v="304"/>
    <x v="140"/>
    <x v="127"/>
    <x v="4"/>
    <x v="1"/>
    <x v="3"/>
    <x v="0"/>
    <x v="6"/>
    <x v="5"/>
    <x v="3"/>
    <x v="184"/>
    <x v="60"/>
    <x v="174"/>
    <x v="7"/>
  </r>
  <r>
    <x v="0"/>
    <x v="141"/>
    <x v="18"/>
    <x v="7"/>
    <x v="3"/>
    <x v="2"/>
    <x v="2"/>
    <x v="5"/>
    <x v="3"/>
    <x v="1"/>
    <x v="160"/>
    <x v="47"/>
    <x v="162"/>
    <x v="23"/>
  </r>
  <r>
    <x v="305"/>
    <x v="141"/>
    <x v="59"/>
    <x v="6"/>
    <x v="2"/>
    <x v="0"/>
    <x v="4"/>
    <x v="3"/>
    <x v="4"/>
    <x v="2"/>
    <x v="147"/>
    <x v="42"/>
    <x v="140"/>
    <x v="13"/>
  </r>
  <r>
    <x v="111"/>
    <x v="142"/>
    <x v="167"/>
    <x v="7"/>
    <x v="3"/>
    <x v="2"/>
    <x v="5"/>
    <x v="1"/>
    <x v="3"/>
    <x v="0"/>
    <x v="89"/>
    <x v="27"/>
    <x v="84"/>
    <x v="28"/>
  </r>
  <r>
    <x v="195"/>
    <x v="142"/>
    <x v="123"/>
    <x v="4"/>
    <x v="1"/>
    <x v="0"/>
    <x v="1"/>
    <x v="2"/>
    <x v="5"/>
    <x v="3"/>
    <x v="138"/>
    <x v="40"/>
    <x v="116"/>
    <x v="7"/>
  </r>
  <r>
    <x v="355"/>
    <x v="142"/>
    <x v="65"/>
    <x v="7"/>
    <x v="3"/>
    <x v="0"/>
    <x v="3"/>
    <x v="5"/>
    <x v="3"/>
    <x v="4"/>
    <x v="153"/>
    <x v="47"/>
    <x v="137"/>
    <x v="4"/>
  </r>
  <r>
    <x v="441"/>
    <x v="142"/>
    <x v="119"/>
    <x v="1"/>
    <x v="0"/>
    <x v="0"/>
    <x v="4"/>
    <x v="5"/>
    <x v="2"/>
    <x v="0"/>
    <x v="93"/>
    <x v="25"/>
    <x v="100"/>
    <x v="37"/>
  </r>
  <r>
    <x v="266"/>
    <x v="143"/>
    <x v="102"/>
    <x v="5"/>
    <x v="0"/>
    <x v="2"/>
    <x v="5"/>
    <x v="4"/>
    <x v="0"/>
    <x v="0"/>
    <x v="34"/>
    <x v="8"/>
    <x v="42"/>
    <x v="39"/>
  </r>
  <r>
    <x v="486"/>
    <x v="144"/>
    <x v="69"/>
    <x v="2"/>
    <x v="0"/>
    <x v="2"/>
    <x v="1"/>
    <x v="5"/>
    <x v="1"/>
    <x v="2"/>
    <x v="82"/>
    <x v="24"/>
    <x v="79"/>
    <x v="31"/>
  </r>
  <r>
    <x v="488"/>
    <x v="144"/>
    <x v="125"/>
    <x v="3"/>
    <x v="1"/>
    <x v="0"/>
    <x v="4"/>
    <x v="2"/>
    <x v="7"/>
    <x v="0"/>
    <x v="213"/>
    <x v="67"/>
    <x v="222"/>
    <x v="21"/>
  </r>
  <r>
    <x v="71"/>
    <x v="145"/>
    <x v="101"/>
    <x v="4"/>
    <x v="1"/>
    <x v="1"/>
    <x v="0"/>
    <x v="2"/>
    <x v="5"/>
    <x v="0"/>
    <x v="144"/>
    <x v="40"/>
    <x v="139"/>
    <x v="24"/>
  </r>
  <r>
    <x v="186"/>
    <x v="145"/>
    <x v="196"/>
    <x v="4"/>
    <x v="1"/>
    <x v="2"/>
    <x v="2"/>
    <x v="9"/>
    <x v="5"/>
    <x v="0"/>
    <x v="218"/>
    <x v="68"/>
    <x v="227"/>
    <x v="24"/>
  </r>
  <r>
    <x v="366"/>
    <x v="146"/>
    <x v="0"/>
    <x v="0"/>
    <x v="2"/>
    <x v="3"/>
    <x v="1"/>
    <x v="6"/>
    <x v="6"/>
    <x v="3"/>
    <x v="192"/>
    <x v="64"/>
    <x v="186"/>
    <x v="6"/>
  </r>
  <r>
    <x v="396"/>
    <x v="146"/>
    <x v="46"/>
    <x v="1"/>
    <x v="0"/>
    <x v="0"/>
    <x v="3"/>
    <x v="1"/>
    <x v="2"/>
    <x v="2"/>
    <x v="30"/>
    <x v="7"/>
    <x v="27"/>
    <x v="32"/>
  </r>
  <r>
    <x v="357"/>
    <x v="147"/>
    <x v="57"/>
    <x v="1"/>
    <x v="0"/>
    <x v="3"/>
    <x v="5"/>
    <x v="5"/>
    <x v="2"/>
    <x v="3"/>
    <x v="88"/>
    <x v="25"/>
    <x v="81"/>
    <x v="29"/>
  </r>
  <r>
    <x v="288"/>
    <x v="148"/>
    <x v="102"/>
    <x v="3"/>
    <x v="1"/>
    <x v="2"/>
    <x v="5"/>
    <x v="2"/>
    <x v="7"/>
    <x v="2"/>
    <x v="208"/>
    <x v="67"/>
    <x v="209"/>
    <x v="10"/>
  </r>
  <r>
    <x v="404"/>
    <x v="148"/>
    <x v="163"/>
    <x v="1"/>
    <x v="0"/>
    <x v="0"/>
    <x v="3"/>
    <x v="6"/>
    <x v="2"/>
    <x v="0"/>
    <x v="104"/>
    <x v="28"/>
    <x v="115"/>
    <x v="37"/>
  </r>
  <r>
    <x v="319"/>
    <x v="149"/>
    <x v="195"/>
    <x v="0"/>
    <x v="2"/>
    <x v="1"/>
    <x v="0"/>
    <x v="0"/>
    <x v="6"/>
    <x v="2"/>
    <x v="68"/>
    <x v="22"/>
    <x v="54"/>
    <x v="11"/>
  </r>
  <r>
    <x v="127"/>
    <x v="150"/>
    <x v="133"/>
    <x v="3"/>
    <x v="1"/>
    <x v="0"/>
    <x v="1"/>
    <x v="1"/>
    <x v="7"/>
    <x v="2"/>
    <x v="179"/>
    <x v="56"/>
    <x v="175"/>
    <x v="10"/>
  </r>
  <r>
    <x v="412"/>
    <x v="151"/>
    <x v="72"/>
    <x v="0"/>
    <x v="2"/>
    <x v="1"/>
    <x v="0"/>
    <x v="2"/>
    <x v="6"/>
    <x v="0"/>
    <x v="149"/>
    <x v="43"/>
    <x v="145"/>
    <x v="22"/>
  </r>
  <r>
    <x v="471"/>
    <x v="151"/>
    <x v="135"/>
    <x v="1"/>
    <x v="0"/>
    <x v="0"/>
    <x v="5"/>
    <x v="1"/>
    <x v="2"/>
    <x v="2"/>
    <x v="30"/>
    <x v="7"/>
    <x v="27"/>
    <x v="32"/>
  </r>
  <r>
    <x v="227"/>
    <x v="152"/>
    <x v="11"/>
    <x v="0"/>
    <x v="2"/>
    <x v="2"/>
    <x v="0"/>
    <x v="5"/>
    <x v="6"/>
    <x v="2"/>
    <x v="185"/>
    <x v="59"/>
    <x v="187"/>
    <x v="11"/>
  </r>
  <r>
    <x v="435"/>
    <x v="153"/>
    <x v="30"/>
    <x v="1"/>
    <x v="0"/>
    <x v="3"/>
    <x v="4"/>
    <x v="7"/>
    <x v="2"/>
    <x v="1"/>
    <x v="114"/>
    <x v="31"/>
    <x v="123"/>
    <x v="34"/>
  </r>
  <r>
    <x v="358"/>
    <x v="154"/>
    <x v="73"/>
    <x v="3"/>
    <x v="1"/>
    <x v="2"/>
    <x v="4"/>
    <x v="1"/>
    <x v="7"/>
    <x v="2"/>
    <x v="179"/>
    <x v="56"/>
    <x v="175"/>
    <x v="10"/>
  </r>
  <r>
    <x v="318"/>
    <x v="155"/>
    <x v="179"/>
    <x v="7"/>
    <x v="3"/>
    <x v="1"/>
    <x v="5"/>
    <x v="1"/>
    <x v="3"/>
    <x v="2"/>
    <x v="87"/>
    <x v="27"/>
    <x v="74"/>
    <x v="16"/>
  </r>
  <r>
    <x v="46"/>
    <x v="156"/>
    <x v="111"/>
    <x v="1"/>
    <x v="0"/>
    <x v="2"/>
    <x v="0"/>
    <x v="2"/>
    <x v="2"/>
    <x v="1"/>
    <x v="46"/>
    <x v="11"/>
    <x v="51"/>
    <x v="34"/>
  </r>
  <r>
    <x v="178"/>
    <x v="156"/>
    <x v="3"/>
    <x v="3"/>
    <x v="1"/>
    <x v="3"/>
    <x v="4"/>
    <x v="9"/>
    <x v="7"/>
    <x v="0"/>
    <x v="246"/>
    <x v="77"/>
    <x v="251"/>
    <x v="21"/>
  </r>
  <r>
    <x v="248"/>
    <x v="156"/>
    <x v="106"/>
    <x v="3"/>
    <x v="1"/>
    <x v="0"/>
    <x v="4"/>
    <x v="6"/>
    <x v="7"/>
    <x v="0"/>
    <x v="236"/>
    <x v="74"/>
    <x v="245"/>
    <x v="21"/>
  </r>
  <r>
    <x v="190"/>
    <x v="157"/>
    <x v="36"/>
    <x v="7"/>
    <x v="3"/>
    <x v="2"/>
    <x v="4"/>
    <x v="3"/>
    <x v="3"/>
    <x v="0"/>
    <x v="144"/>
    <x v="39"/>
    <x v="142"/>
    <x v="28"/>
  </r>
  <r>
    <x v="210"/>
    <x v="157"/>
    <x v="102"/>
    <x v="7"/>
    <x v="3"/>
    <x v="3"/>
    <x v="3"/>
    <x v="9"/>
    <x v="3"/>
    <x v="3"/>
    <x v="187"/>
    <x v="61"/>
    <x v="184"/>
    <x v="9"/>
  </r>
  <r>
    <x v="217"/>
    <x v="157"/>
    <x v="163"/>
    <x v="6"/>
    <x v="2"/>
    <x v="0"/>
    <x v="2"/>
    <x v="2"/>
    <x v="4"/>
    <x v="4"/>
    <x v="119"/>
    <x v="38"/>
    <x v="87"/>
    <x v="3"/>
  </r>
  <r>
    <x v="277"/>
    <x v="157"/>
    <x v="32"/>
    <x v="0"/>
    <x v="2"/>
    <x v="2"/>
    <x v="0"/>
    <x v="3"/>
    <x v="6"/>
    <x v="0"/>
    <x v="162"/>
    <x v="48"/>
    <x v="166"/>
    <x v="22"/>
  </r>
  <r>
    <x v="386"/>
    <x v="157"/>
    <x v="80"/>
    <x v="2"/>
    <x v="0"/>
    <x v="0"/>
    <x v="1"/>
    <x v="2"/>
    <x v="1"/>
    <x v="3"/>
    <x v="35"/>
    <x v="9"/>
    <x v="33"/>
    <x v="27"/>
  </r>
  <r>
    <x v="128"/>
    <x v="158"/>
    <x v="213"/>
    <x v="5"/>
    <x v="0"/>
    <x v="3"/>
    <x v="0"/>
    <x v="1"/>
    <x v="0"/>
    <x v="2"/>
    <x v="10"/>
    <x v="2"/>
    <x v="11"/>
    <x v="35"/>
  </r>
  <r>
    <x v="122"/>
    <x v="159"/>
    <x v="189"/>
    <x v="4"/>
    <x v="1"/>
    <x v="1"/>
    <x v="4"/>
    <x v="1"/>
    <x v="5"/>
    <x v="1"/>
    <x v="107"/>
    <x v="32"/>
    <x v="99"/>
    <x v="19"/>
  </r>
  <r>
    <x v="296"/>
    <x v="159"/>
    <x v="135"/>
    <x v="0"/>
    <x v="2"/>
    <x v="2"/>
    <x v="4"/>
    <x v="1"/>
    <x v="6"/>
    <x v="1"/>
    <x v="122"/>
    <x v="36"/>
    <x v="110"/>
    <x v="18"/>
  </r>
  <r>
    <x v="351"/>
    <x v="159"/>
    <x v="79"/>
    <x v="3"/>
    <x v="1"/>
    <x v="2"/>
    <x v="0"/>
    <x v="3"/>
    <x v="7"/>
    <x v="2"/>
    <x v="225"/>
    <x v="71"/>
    <x v="229"/>
    <x v="10"/>
  </r>
  <r>
    <x v="359"/>
    <x v="159"/>
    <x v="202"/>
    <x v="2"/>
    <x v="0"/>
    <x v="0"/>
    <x v="2"/>
    <x v="1"/>
    <x v="1"/>
    <x v="1"/>
    <x v="24"/>
    <x v="5"/>
    <x v="24"/>
    <x v="33"/>
  </r>
  <r>
    <x v="249"/>
    <x v="160"/>
    <x v="101"/>
    <x v="2"/>
    <x v="0"/>
    <x v="1"/>
    <x v="5"/>
    <x v="9"/>
    <x v="1"/>
    <x v="0"/>
    <x v="129"/>
    <x v="33"/>
    <x v="131"/>
    <x v="36"/>
  </r>
  <r>
    <x v="134"/>
    <x v="161"/>
    <x v="155"/>
    <x v="7"/>
    <x v="3"/>
    <x v="2"/>
    <x v="4"/>
    <x v="5"/>
    <x v="3"/>
    <x v="3"/>
    <x v="156"/>
    <x v="47"/>
    <x v="147"/>
    <x v="9"/>
  </r>
  <r>
    <x v="429"/>
    <x v="161"/>
    <x v="17"/>
    <x v="5"/>
    <x v="0"/>
    <x v="1"/>
    <x v="4"/>
    <x v="6"/>
    <x v="0"/>
    <x v="0"/>
    <x v="51"/>
    <x v="13"/>
    <x v="60"/>
    <x v="39"/>
  </r>
  <r>
    <x v="8"/>
    <x v="162"/>
    <x v="8"/>
    <x v="7"/>
    <x v="3"/>
    <x v="2"/>
    <x v="2"/>
    <x v="0"/>
    <x v="3"/>
    <x v="3"/>
    <x v="38"/>
    <x v="12"/>
    <x v="28"/>
    <x v="9"/>
  </r>
  <r>
    <x v="144"/>
    <x v="162"/>
    <x v="151"/>
    <x v="1"/>
    <x v="0"/>
    <x v="1"/>
    <x v="4"/>
    <x v="3"/>
    <x v="2"/>
    <x v="2"/>
    <x v="62"/>
    <x v="17"/>
    <x v="64"/>
    <x v="32"/>
  </r>
  <r>
    <x v="228"/>
    <x v="162"/>
    <x v="132"/>
    <x v="3"/>
    <x v="1"/>
    <x v="3"/>
    <x v="3"/>
    <x v="8"/>
    <x v="7"/>
    <x v="3"/>
    <x v="241"/>
    <x v="76"/>
    <x v="243"/>
    <x v="5"/>
  </r>
  <r>
    <x v="244"/>
    <x v="162"/>
    <x v="60"/>
    <x v="7"/>
    <x v="3"/>
    <x v="3"/>
    <x v="1"/>
    <x v="0"/>
    <x v="3"/>
    <x v="2"/>
    <x v="41"/>
    <x v="12"/>
    <x v="34"/>
    <x v="16"/>
  </r>
  <r>
    <x v="204"/>
    <x v="163"/>
    <x v="116"/>
    <x v="5"/>
    <x v="0"/>
    <x v="2"/>
    <x v="1"/>
    <x v="3"/>
    <x v="0"/>
    <x v="4"/>
    <x v="21"/>
    <x v="6"/>
    <x v="19"/>
    <x v="25"/>
  </r>
  <r>
    <x v="337"/>
    <x v="163"/>
    <x v="42"/>
    <x v="2"/>
    <x v="0"/>
    <x v="3"/>
    <x v="3"/>
    <x v="4"/>
    <x v="1"/>
    <x v="1"/>
    <x v="72"/>
    <x v="20"/>
    <x v="72"/>
    <x v="33"/>
  </r>
  <r>
    <x v="379"/>
    <x v="163"/>
    <x v="21"/>
    <x v="3"/>
    <x v="1"/>
    <x v="2"/>
    <x v="1"/>
    <x v="5"/>
    <x v="7"/>
    <x v="2"/>
    <x v="230"/>
    <x v="73"/>
    <x v="237"/>
    <x v="10"/>
  </r>
  <r>
    <x v="443"/>
    <x v="164"/>
    <x v="109"/>
    <x v="1"/>
    <x v="0"/>
    <x v="1"/>
    <x v="0"/>
    <x v="7"/>
    <x v="2"/>
    <x v="0"/>
    <x v="116"/>
    <x v="31"/>
    <x v="125"/>
    <x v="37"/>
  </r>
  <r>
    <x v="196"/>
    <x v="165"/>
    <x v="30"/>
    <x v="4"/>
    <x v="1"/>
    <x v="0"/>
    <x v="4"/>
    <x v="8"/>
    <x v="5"/>
    <x v="2"/>
    <x v="206"/>
    <x v="66"/>
    <x v="210"/>
    <x v="12"/>
  </r>
  <r>
    <x v="323"/>
    <x v="165"/>
    <x v="6"/>
    <x v="4"/>
    <x v="1"/>
    <x v="2"/>
    <x v="5"/>
    <x v="9"/>
    <x v="5"/>
    <x v="1"/>
    <x v="217"/>
    <x v="68"/>
    <x v="224"/>
    <x v="19"/>
  </r>
  <r>
    <x v="354"/>
    <x v="166"/>
    <x v="128"/>
    <x v="1"/>
    <x v="0"/>
    <x v="0"/>
    <x v="2"/>
    <x v="3"/>
    <x v="2"/>
    <x v="2"/>
    <x v="62"/>
    <x v="17"/>
    <x v="64"/>
    <x v="32"/>
  </r>
  <r>
    <x v="92"/>
    <x v="167"/>
    <x v="126"/>
    <x v="4"/>
    <x v="1"/>
    <x v="1"/>
    <x v="3"/>
    <x v="1"/>
    <x v="5"/>
    <x v="0"/>
    <x v="110"/>
    <x v="32"/>
    <x v="105"/>
    <x v="24"/>
  </r>
  <r>
    <x v="321"/>
    <x v="167"/>
    <x v="193"/>
    <x v="6"/>
    <x v="2"/>
    <x v="0"/>
    <x v="4"/>
    <x v="6"/>
    <x v="4"/>
    <x v="2"/>
    <x v="177"/>
    <x v="54"/>
    <x v="177"/>
    <x v="13"/>
  </r>
  <r>
    <x v="436"/>
    <x v="167"/>
    <x v="120"/>
    <x v="1"/>
    <x v="0"/>
    <x v="1"/>
    <x v="2"/>
    <x v="3"/>
    <x v="2"/>
    <x v="3"/>
    <x v="57"/>
    <x v="17"/>
    <x v="55"/>
    <x v="29"/>
  </r>
  <r>
    <x v="258"/>
    <x v="168"/>
    <x v="51"/>
    <x v="1"/>
    <x v="0"/>
    <x v="0"/>
    <x v="1"/>
    <x v="7"/>
    <x v="2"/>
    <x v="3"/>
    <x v="106"/>
    <x v="31"/>
    <x v="105"/>
    <x v="29"/>
  </r>
  <r>
    <x v="223"/>
    <x v="169"/>
    <x v="96"/>
    <x v="5"/>
    <x v="0"/>
    <x v="2"/>
    <x v="4"/>
    <x v="1"/>
    <x v="0"/>
    <x v="3"/>
    <x v="7"/>
    <x v="2"/>
    <x v="7"/>
    <x v="30"/>
  </r>
  <r>
    <x v="327"/>
    <x v="169"/>
    <x v="143"/>
    <x v="7"/>
    <x v="3"/>
    <x v="2"/>
    <x v="5"/>
    <x v="9"/>
    <x v="3"/>
    <x v="2"/>
    <x v="191"/>
    <x v="61"/>
    <x v="197"/>
    <x v="16"/>
  </r>
  <r>
    <x v="250"/>
    <x v="170"/>
    <x v="103"/>
    <x v="0"/>
    <x v="2"/>
    <x v="1"/>
    <x v="1"/>
    <x v="2"/>
    <x v="6"/>
    <x v="0"/>
    <x v="149"/>
    <x v="43"/>
    <x v="145"/>
    <x v="22"/>
  </r>
  <r>
    <x v="473"/>
    <x v="170"/>
    <x v="150"/>
    <x v="5"/>
    <x v="0"/>
    <x v="2"/>
    <x v="3"/>
    <x v="3"/>
    <x v="0"/>
    <x v="3"/>
    <x v="23"/>
    <x v="6"/>
    <x v="22"/>
    <x v="30"/>
  </r>
  <r>
    <x v="428"/>
    <x v="171"/>
    <x v="75"/>
    <x v="3"/>
    <x v="1"/>
    <x v="0"/>
    <x v="3"/>
    <x v="9"/>
    <x v="7"/>
    <x v="3"/>
    <x v="244"/>
    <x v="77"/>
    <x v="246"/>
    <x v="5"/>
  </r>
  <r>
    <x v="108"/>
    <x v="172"/>
    <x v="147"/>
    <x v="0"/>
    <x v="2"/>
    <x v="1"/>
    <x v="5"/>
    <x v="0"/>
    <x v="6"/>
    <x v="1"/>
    <x v="70"/>
    <x v="22"/>
    <x v="59"/>
    <x v="18"/>
  </r>
  <r>
    <x v="126"/>
    <x v="173"/>
    <x v="17"/>
    <x v="4"/>
    <x v="1"/>
    <x v="2"/>
    <x v="5"/>
    <x v="9"/>
    <x v="5"/>
    <x v="0"/>
    <x v="218"/>
    <x v="68"/>
    <x v="227"/>
    <x v="24"/>
  </r>
  <r>
    <x v="101"/>
    <x v="174"/>
    <x v="7"/>
    <x v="4"/>
    <x v="1"/>
    <x v="3"/>
    <x v="0"/>
    <x v="7"/>
    <x v="5"/>
    <x v="3"/>
    <x v="192"/>
    <x v="63"/>
    <x v="188"/>
    <x v="7"/>
  </r>
  <r>
    <x v="253"/>
    <x v="174"/>
    <x v="209"/>
    <x v="6"/>
    <x v="2"/>
    <x v="2"/>
    <x v="0"/>
    <x v="9"/>
    <x v="4"/>
    <x v="1"/>
    <x v="205"/>
    <x v="65"/>
    <x v="214"/>
    <x v="20"/>
  </r>
  <r>
    <x v="380"/>
    <x v="174"/>
    <x v="117"/>
    <x v="1"/>
    <x v="0"/>
    <x v="2"/>
    <x v="0"/>
    <x v="9"/>
    <x v="2"/>
    <x v="4"/>
    <x v="125"/>
    <x v="37"/>
    <x v="111"/>
    <x v="15"/>
  </r>
  <r>
    <x v="360"/>
    <x v="175"/>
    <x v="167"/>
    <x v="5"/>
    <x v="0"/>
    <x v="0"/>
    <x v="4"/>
    <x v="8"/>
    <x v="0"/>
    <x v="0"/>
    <x v="71"/>
    <x v="18"/>
    <x v="77"/>
    <x v="39"/>
  </r>
  <r>
    <x v="475"/>
    <x v="175"/>
    <x v="152"/>
    <x v="1"/>
    <x v="0"/>
    <x v="3"/>
    <x v="5"/>
    <x v="0"/>
    <x v="2"/>
    <x v="1"/>
    <x v="15"/>
    <x v="3"/>
    <x v="14"/>
    <x v="34"/>
  </r>
  <r>
    <x v="176"/>
    <x v="176"/>
    <x v="164"/>
    <x v="2"/>
    <x v="0"/>
    <x v="3"/>
    <x v="5"/>
    <x v="8"/>
    <x v="1"/>
    <x v="0"/>
    <x v="113"/>
    <x v="30"/>
    <x v="124"/>
    <x v="36"/>
  </r>
  <r>
    <x v="295"/>
    <x v="176"/>
    <x v="151"/>
    <x v="5"/>
    <x v="0"/>
    <x v="0"/>
    <x v="4"/>
    <x v="8"/>
    <x v="0"/>
    <x v="3"/>
    <x v="61"/>
    <x v="18"/>
    <x v="62"/>
    <x v="30"/>
  </r>
  <r>
    <x v="371"/>
    <x v="176"/>
    <x v="184"/>
    <x v="1"/>
    <x v="0"/>
    <x v="0"/>
    <x v="5"/>
    <x v="6"/>
    <x v="2"/>
    <x v="2"/>
    <x v="101"/>
    <x v="28"/>
    <x v="104"/>
    <x v="32"/>
  </r>
  <r>
    <x v="24"/>
    <x v="177"/>
    <x v="151"/>
    <x v="5"/>
    <x v="0"/>
    <x v="0"/>
    <x v="4"/>
    <x v="9"/>
    <x v="0"/>
    <x v="2"/>
    <x v="76"/>
    <x v="21"/>
    <x v="76"/>
    <x v="35"/>
  </r>
  <r>
    <x v="139"/>
    <x v="177"/>
    <x v="69"/>
    <x v="3"/>
    <x v="1"/>
    <x v="0"/>
    <x v="0"/>
    <x v="8"/>
    <x v="7"/>
    <x v="2"/>
    <x v="242"/>
    <x v="76"/>
    <x v="247"/>
    <x v="10"/>
  </r>
  <r>
    <x v="28"/>
    <x v="178"/>
    <x v="33"/>
    <x v="1"/>
    <x v="0"/>
    <x v="1"/>
    <x v="2"/>
    <x v="1"/>
    <x v="2"/>
    <x v="0"/>
    <x v="31"/>
    <x v="7"/>
    <x v="32"/>
    <x v="37"/>
  </r>
  <r>
    <x v="115"/>
    <x v="178"/>
    <x v="174"/>
    <x v="5"/>
    <x v="0"/>
    <x v="3"/>
    <x v="4"/>
    <x v="0"/>
    <x v="0"/>
    <x v="3"/>
    <x v="1"/>
    <x v="0"/>
    <x v="1"/>
    <x v="30"/>
  </r>
  <r>
    <x v="154"/>
    <x v="178"/>
    <x v="139"/>
    <x v="6"/>
    <x v="2"/>
    <x v="0"/>
    <x v="1"/>
    <x v="9"/>
    <x v="4"/>
    <x v="1"/>
    <x v="205"/>
    <x v="65"/>
    <x v="214"/>
    <x v="20"/>
  </r>
  <r>
    <x v="456"/>
    <x v="178"/>
    <x v="9"/>
    <x v="0"/>
    <x v="2"/>
    <x v="0"/>
    <x v="1"/>
    <x v="8"/>
    <x v="6"/>
    <x v="0"/>
    <x v="220"/>
    <x v="69"/>
    <x v="228"/>
    <x v="22"/>
  </r>
  <r>
    <x v="192"/>
    <x v="179"/>
    <x v="121"/>
    <x v="3"/>
    <x v="1"/>
    <x v="0"/>
    <x v="1"/>
    <x v="7"/>
    <x v="7"/>
    <x v="3"/>
    <x v="237"/>
    <x v="75"/>
    <x v="240"/>
    <x v="5"/>
  </r>
  <r>
    <x v="452"/>
    <x v="179"/>
    <x v="173"/>
    <x v="0"/>
    <x v="2"/>
    <x v="0"/>
    <x v="2"/>
    <x v="8"/>
    <x v="6"/>
    <x v="0"/>
    <x v="220"/>
    <x v="69"/>
    <x v="228"/>
    <x v="22"/>
  </r>
  <r>
    <x v="477"/>
    <x v="179"/>
    <x v="71"/>
    <x v="1"/>
    <x v="0"/>
    <x v="1"/>
    <x v="4"/>
    <x v="1"/>
    <x v="2"/>
    <x v="3"/>
    <x v="27"/>
    <x v="7"/>
    <x v="23"/>
    <x v="29"/>
  </r>
  <r>
    <x v="137"/>
    <x v="180"/>
    <x v="41"/>
    <x v="3"/>
    <x v="1"/>
    <x v="0"/>
    <x v="4"/>
    <x v="8"/>
    <x v="7"/>
    <x v="2"/>
    <x v="242"/>
    <x v="76"/>
    <x v="247"/>
    <x v="10"/>
  </r>
  <r>
    <x v="145"/>
    <x v="180"/>
    <x v="110"/>
    <x v="7"/>
    <x v="3"/>
    <x v="3"/>
    <x v="0"/>
    <x v="6"/>
    <x v="3"/>
    <x v="3"/>
    <x v="164"/>
    <x v="51"/>
    <x v="156"/>
    <x v="9"/>
  </r>
  <r>
    <x v="421"/>
    <x v="180"/>
    <x v="201"/>
    <x v="4"/>
    <x v="1"/>
    <x v="1"/>
    <x v="4"/>
    <x v="1"/>
    <x v="5"/>
    <x v="0"/>
    <x v="110"/>
    <x v="32"/>
    <x v="105"/>
    <x v="24"/>
  </r>
  <r>
    <x v="372"/>
    <x v="181"/>
    <x v="131"/>
    <x v="4"/>
    <x v="1"/>
    <x v="2"/>
    <x v="4"/>
    <x v="4"/>
    <x v="5"/>
    <x v="0"/>
    <x v="169"/>
    <x v="49"/>
    <x v="173"/>
    <x v="24"/>
  </r>
  <r>
    <x v="430"/>
    <x v="181"/>
    <x v="41"/>
    <x v="3"/>
    <x v="1"/>
    <x v="0"/>
    <x v="4"/>
    <x v="6"/>
    <x v="7"/>
    <x v="0"/>
    <x v="236"/>
    <x v="74"/>
    <x v="245"/>
    <x v="21"/>
  </r>
  <r>
    <x v="282"/>
    <x v="182"/>
    <x v="1"/>
    <x v="0"/>
    <x v="2"/>
    <x v="1"/>
    <x v="4"/>
    <x v="5"/>
    <x v="6"/>
    <x v="0"/>
    <x v="188"/>
    <x v="59"/>
    <x v="199"/>
    <x v="22"/>
  </r>
  <r>
    <x v="320"/>
    <x v="182"/>
    <x v="186"/>
    <x v="1"/>
    <x v="0"/>
    <x v="0"/>
    <x v="2"/>
    <x v="6"/>
    <x v="2"/>
    <x v="2"/>
    <x v="101"/>
    <x v="28"/>
    <x v="104"/>
    <x v="32"/>
  </r>
  <r>
    <x v="442"/>
    <x v="182"/>
    <x v="66"/>
    <x v="3"/>
    <x v="1"/>
    <x v="3"/>
    <x v="4"/>
    <x v="0"/>
    <x v="7"/>
    <x v="2"/>
    <x v="140"/>
    <x v="41"/>
    <x v="129"/>
    <x v="10"/>
  </r>
  <r>
    <x v="1"/>
    <x v="183"/>
    <x v="76"/>
    <x v="5"/>
    <x v="0"/>
    <x v="1"/>
    <x v="5"/>
    <x v="3"/>
    <x v="0"/>
    <x v="1"/>
    <x v="28"/>
    <x v="6"/>
    <x v="29"/>
    <x v="38"/>
  </r>
  <r>
    <x v="175"/>
    <x v="183"/>
    <x v="110"/>
    <x v="0"/>
    <x v="2"/>
    <x v="2"/>
    <x v="1"/>
    <x v="7"/>
    <x v="6"/>
    <x v="0"/>
    <x v="214"/>
    <x v="67"/>
    <x v="223"/>
    <x v="22"/>
  </r>
  <r>
    <x v="257"/>
    <x v="183"/>
    <x v="156"/>
    <x v="0"/>
    <x v="2"/>
    <x v="1"/>
    <x v="4"/>
    <x v="3"/>
    <x v="6"/>
    <x v="0"/>
    <x v="162"/>
    <x v="48"/>
    <x v="166"/>
    <x v="22"/>
  </r>
  <r>
    <x v="363"/>
    <x v="183"/>
    <x v="78"/>
    <x v="4"/>
    <x v="1"/>
    <x v="0"/>
    <x v="2"/>
    <x v="0"/>
    <x v="5"/>
    <x v="1"/>
    <x v="59"/>
    <x v="19"/>
    <x v="52"/>
    <x v="19"/>
  </r>
  <r>
    <x v="133"/>
    <x v="184"/>
    <x v="139"/>
    <x v="6"/>
    <x v="2"/>
    <x v="2"/>
    <x v="3"/>
    <x v="2"/>
    <x v="4"/>
    <x v="0"/>
    <x v="134"/>
    <x v="38"/>
    <x v="127"/>
    <x v="26"/>
  </r>
  <r>
    <x v="433"/>
    <x v="185"/>
    <x v="158"/>
    <x v="1"/>
    <x v="0"/>
    <x v="1"/>
    <x v="4"/>
    <x v="9"/>
    <x v="2"/>
    <x v="0"/>
    <x v="137"/>
    <x v="37"/>
    <x v="143"/>
    <x v="37"/>
  </r>
  <r>
    <x v="3"/>
    <x v="186"/>
    <x v="153"/>
    <x v="7"/>
    <x v="3"/>
    <x v="1"/>
    <x v="4"/>
    <x v="3"/>
    <x v="3"/>
    <x v="0"/>
    <x v="144"/>
    <x v="39"/>
    <x v="142"/>
    <x v="28"/>
  </r>
  <r>
    <x v="365"/>
    <x v="186"/>
    <x v="90"/>
    <x v="7"/>
    <x v="3"/>
    <x v="2"/>
    <x v="0"/>
    <x v="5"/>
    <x v="3"/>
    <x v="3"/>
    <x v="156"/>
    <x v="47"/>
    <x v="147"/>
    <x v="9"/>
  </r>
  <r>
    <x v="148"/>
    <x v="187"/>
    <x v="59"/>
    <x v="3"/>
    <x v="1"/>
    <x v="2"/>
    <x v="4"/>
    <x v="5"/>
    <x v="7"/>
    <x v="1"/>
    <x v="231"/>
    <x v="73"/>
    <x v="239"/>
    <x v="17"/>
  </r>
  <r>
    <x v="155"/>
    <x v="188"/>
    <x v="25"/>
    <x v="4"/>
    <x v="1"/>
    <x v="2"/>
    <x v="5"/>
    <x v="1"/>
    <x v="5"/>
    <x v="4"/>
    <x v="98"/>
    <x v="32"/>
    <x v="68"/>
    <x v="2"/>
  </r>
  <r>
    <x v="333"/>
    <x v="189"/>
    <x v="12"/>
    <x v="2"/>
    <x v="0"/>
    <x v="2"/>
    <x v="0"/>
    <x v="3"/>
    <x v="1"/>
    <x v="0"/>
    <x v="55"/>
    <x v="14"/>
    <x v="61"/>
    <x v="36"/>
  </r>
  <r>
    <x v="400"/>
    <x v="189"/>
    <x v="199"/>
    <x v="1"/>
    <x v="0"/>
    <x v="0"/>
    <x v="2"/>
    <x v="5"/>
    <x v="2"/>
    <x v="3"/>
    <x v="88"/>
    <x v="25"/>
    <x v="81"/>
    <x v="29"/>
  </r>
  <r>
    <x v="424"/>
    <x v="189"/>
    <x v="28"/>
    <x v="1"/>
    <x v="0"/>
    <x v="2"/>
    <x v="5"/>
    <x v="3"/>
    <x v="2"/>
    <x v="2"/>
    <x v="62"/>
    <x v="17"/>
    <x v="64"/>
    <x v="32"/>
  </r>
  <r>
    <x v="413"/>
    <x v="190"/>
    <x v="210"/>
    <x v="3"/>
    <x v="1"/>
    <x v="2"/>
    <x v="0"/>
    <x v="1"/>
    <x v="7"/>
    <x v="0"/>
    <x v="183"/>
    <x v="56"/>
    <x v="189"/>
    <x v="21"/>
  </r>
  <r>
    <x v="72"/>
    <x v="191"/>
    <x v="210"/>
    <x v="3"/>
    <x v="1"/>
    <x v="0"/>
    <x v="4"/>
    <x v="3"/>
    <x v="7"/>
    <x v="4"/>
    <x v="221"/>
    <x v="71"/>
    <x v="203"/>
    <x v="0"/>
  </r>
  <r>
    <x v="469"/>
    <x v="191"/>
    <x v="149"/>
    <x v="5"/>
    <x v="0"/>
    <x v="1"/>
    <x v="2"/>
    <x v="9"/>
    <x v="0"/>
    <x v="3"/>
    <x v="71"/>
    <x v="21"/>
    <x v="67"/>
    <x v="30"/>
  </r>
  <r>
    <x v="39"/>
    <x v="192"/>
    <x v="21"/>
    <x v="2"/>
    <x v="0"/>
    <x v="0"/>
    <x v="2"/>
    <x v="2"/>
    <x v="1"/>
    <x v="0"/>
    <x v="40"/>
    <x v="9"/>
    <x v="44"/>
    <x v="36"/>
  </r>
  <r>
    <x v="65"/>
    <x v="192"/>
    <x v="36"/>
    <x v="4"/>
    <x v="1"/>
    <x v="2"/>
    <x v="2"/>
    <x v="3"/>
    <x v="5"/>
    <x v="1"/>
    <x v="154"/>
    <x v="45"/>
    <x v="151"/>
    <x v="19"/>
  </r>
  <r>
    <x v="181"/>
    <x v="192"/>
    <x v="37"/>
    <x v="7"/>
    <x v="3"/>
    <x v="1"/>
    <x v="3"/>
    <x v="5"/>
    <x v="3"/>
    <x v="2"/>
    <x v="158"/>
    <x v="47"/>
    <x v="155"/>
    <x v="16"/>
  </r>
  <r>
    <x v="225"/>
    <x v="193"/>
    <x v="143"/>
    <x v="4"/>
    <x v="1"/>
    <x v="1"/>
    <x v="1"/>
    <x v="4"/>
    <x v="5"/>
    <x v="1"/>
    <x v="167"/>
    <x v="49"/>
    <x v="170"/>
    <x v="19"/>
  </r>
  <r>
    <x v="382"/>
    <x v="194"/>
    <x v="106"/>
    <x v="5"/>
    <x v="0"/>
    <x v="1"/>
    <x v="2"/>
    <x v="7"/>
    <x v="0"/>
    <x v="2"/>
    <x v="56"/>
    <x v="15"/>
    <x v="63"/>
    <x v="35"/>
  </r>
  <r>
    <x v="164"/>
    <x v="195"/>
    <x v="133"/>
    <x v="4"/>
    <x v="1"/>
    <x v="2"/>
    <x v="2"/>
    <x v="7"/>
    <x v="5"/>
    <x v="1"/>
    <x v="200"/>
    <x v="63"/>
    <x v="207"/>
    <x v="19"/>
  </r>
  <r>
    <x v="206"/>
    <x v="195"/>
    <x v="129"/>
    <x v="1"/>
    <x v="0"/>
    <x v="2"/>
    <x v="2"/>
    <x v="6"/>
    <x v="2"/>
    <x v="0"/>
    <x v="104"/>
    <x v="28"/>
    <x v="115"/>
    <x v="37"/>
  </r>
  <r>
    <x v="426"/>
    <x v="195"/>
    <x v="32"/>
    <x v="3"/>
    <x v="1"/>
    <x v="0"/>
    <x v="3"/>
    <x v="8"/>
    <x v="7"/>
    <x v="1"/>
    <x v="243"/>
    <x v="76"/>
    <x v="249"/>
    <x v="17"/>
  </r>
  <r>
    <x v="80"/>
    <x v="196"/>
    <x v="215"/>
    <x v="7"/>
    <x v="3"/>
    <x v="2"/>
    <x v="4"/>
    <x v="8"/>
    <x v="3"/>
    <x v="1"/>
    <x v="186"/>
    <x v="57"/>
    <x v="193"/>
    <x v="23"/>
  </r>
  <r>
    <x v="62"/>
    <x v="197"/>
    <x v="118"/>
    <x v="6"/>
    <x v="2"/>
    <x v="3"/>
    <x v="4"/>
    <x v="4"/>
    <x v="4"/>
    <x v="0"/>
    <x v="159"/>
    <x v="46"/>
    <x v="160"/>
    <x v="26"/>
  </r>
  <r>
    <x v="109"/>
    <x v="198"/>
    <x v="103"/>
    <x v="7"/>
    <x v="3"/>
    <x v="2"/>
    <x v="5"/>
    <x v="9"/>
    <x v="3"/>
    <x v="2"/>
    <x v="191"/>
    <x v="61"/>
    <x v="197"/>
    <x v="16"/>
  </r>
  <r>
    <x v="338"/>
    <x v="198"/>
    <x v="80"/>
    <x v="5"/>
    <x v="0"/>
    <x v="1"/>
    <x v="2"/>
    <x v="4"/>
    <x v="0"/>
    <x v="1"/>
    <x v="33"/>
    <x v="8"/>
    <x v="37"/>
    <x v="38"/>
  </r>
  <r>
    <x v="21"/>
    <x v="199"/>
    <x v="118"/>
    <x v="6"/>
    <x v="2"/>
    <x v="0"/>
    <x v="2"/>
    <x v="0"/>
    <x v="4"/>
    <x v="2"/>
    <x v="47"/>
    <x v="16"/>
    <x v="41"/>
    <x v="13"/>
  </r>
  <r>
    <x v="214"/>
    <x v="199"/>
    <x v="85"/>
    <x v="2"/>
    <x v="0"/>
    <x v="1"/>
    <x v="5"/>
    <x v="7"/>
    <x v="1"/>
    <x v="1"/>
    <x v="102"/>
    <x v="28"/>
    <x v="107"/>
    <x v="33"/>
  </r>
  <r>
    <x v="465"/>
    <x v="199"/>
    <x v="170"/>
    <x v="7"/>
    <x v="3"/>
    <x v="2"/>
    <x v="0"/>
    <x v="7"/>
    <x v="3"/>
    <x v="0"/>
    <x v="182"/>
    <x v="53"/>
    <x v="192"/>
    <x v="28"/>
  </r>
  <r>
    <x v="88"/>
    <x v="200"/>
    <x v="113"/>
    <x v="5"/>
    <x v="0"/>
    <x v="1"/>
    <x v="2"/>
    <x v="0"/>
    <x v="0"/>
    <x v="3"/>
    <x v="1"/>
    <x v="0"/>
    <x v="1"/>
    <x v="30"/>
  </r>
  <r>
    <x v="283"/>
    <x v="200"/>
    <x v="90"/>
    <x v="7"/>
    <x v="3"/>
    <x v="1"/>
    <x v="1"/>
    <x v="4"/>
    <x v="3"/>
    <x v="4"/>
    <x v="146"/>
    <x v="44"/>
    <x v="122"/>
    <x v="4"/>
  </r>
  <r>
    <x v="191"/>
    <x v="201"/>
    <x v="209"/>
    <x v="2"/>
    <x v="0"/>
    <x v="0"/>
    <x v="2"/>
    <x v="3"/>
    <x v="1"/>
    <x v="0"/>
    <x v="55"/>
    <x v="14"/>
    <x v="61"/>
    <x v="36"/>
  </r>
  <r>
    <x v="495"/>
    <x v="201"/>
    <x v="65"/>
    <x v="7"/>
    <x v="3"/>
    <x v="1"/>
    <x v="1"/>
    <x v="2"/>
    <x v="3"/>
    <x v="1"/>
    <x v="120"/>
    <x v="35"/>
    <x v="114"/>
    <x v="23"/>
  </r>
  <r>
    <x v="113"/>
    <x v="202"/>
    <x v="93"/>
    <x v="0"/>
    <x v="2"/>
    <x v="2"/>
    <x v="1"/>
    <x v="1"/>
    <x v="6"/>
    <x v="0"/>
    <x v="126"/>
    <x v="36"/>
    <x v="119"/>
    <x v="22"/>
  </r>
  <r>
    <x v="95"/>
    <x v="203"/>
    <x v="108"/>
    <x v="0"/>
    <x v="2"/>
    <x v="0"/>
    <x v="5"/>
    <x v="0"/>
    <x v="6"/>
    <x v="3"/>
    <x v="63"/>
    <x v="22"/>
    <x v="47"/>
    <x v="6"/>
  </r>
  <r>
    <x v="209"/>
    <x v="203"/>
    <x v="83"/>
    <x v="6"/>
    <x v="2"/>
    <x v="2"/>
    <x v="4"/>
    <x v="2"/>
    <x v="4"/>
    <x v="2"/>
    <x v="131"/>
    <x v="38"/>
    <x v="118"/>
    <x v="13"/>
  </r>
  <r>
    <x v="14"/>
    <x v="204"/>
    <x v="189"/>
    <x v="1"/>
    <x v="0"/>
    <x v="0"/>
    <x v="1"/>
    <x v="7"/>
    <x v="2"/>
    <x v="1"/>
    <x v="114"/>
    <x v="31"/>
    <x v="123"/>
    <x v="34"/>
  </r>
  <r>
    <x v="152"/>
    <x v="204"/>
    <x v="12"/>
    <x v="3"/>
    <x v="1"/>
    <x v="0"/>
    <x v="3"/>
    <x v="2"/>
    <x v="7"/>
    <x v="2"/>
    <x v="208"/>
    <x v="67"/>
    <x v="209"/>
    <x v="10"/>
  </r>
  <r>
    <x v="7"/>
    <x v="205"/>
    <x v="41"/>
    <x v="6"/>
    <x v="2"/>
    <x v="2"/>
    <x v="5"/>
    <x v="5"/>
    <x v="4"/>
    <x v="1"/>
    <x v="170"/>
    <x v="50"/>
    <x v="171"/>
    <x v="20"/>
  </r>
  <r>
    <x v="485"/>
    <x v="205"/>
    <x v="140"/>
    <x v="0"/>
    <x v="2"/>
    <x v="2"/>
    <x v="0"/>
    <x v="0"/>
    <x v="6"/>
    <x v="0"/>
    <x v="73"/>
    <x v="22"/>
    <x v="64"/>
    <x v="22"/>
  </r>
  <r>
    <x v="384"/>
    <x v="206"/>
    <x v="166"/>
    <x v="6"/>
    <x v="2"/>
    <x v="3"/>
    <x v="2"/>
    <x v="1"/>
    <x v="4"/>
    <x v="2"/>
    <x v="94"/>
    <x v="29"/>
    <x v="82"/>
    <x v="13"/>
  </r>
  <r>
    <x v="264"/>
    <x v="207"/>
    <x v="54"/>
    <x v="2"/>
    <x v="0"/>
    <x v="1"/>
    <x v="1"/>
    <x v="4"/>
    <x v="1"/>
    <x v="1"/>
    <x v="72"/>
    <x v="20"/>
    <x v="72"/>
    <x v="33"/>
  </r>
  <r>
    <x v="389"/>
    <x v="207"/>
    <x v="84"/>
    <x v="3"/>
    <x v="1"/>
    <x v="3"/>
    <x v="2"/>
    <x v="7"/>
    <x v="7"/>
    <x v="3"/>
    <x v="237"/>
    <x v="75"/>
    <x v="240"/>
    <x v="5"/>
  </r>
  <r>
    <x v="226"/>
    <x v="208"/>
    <x v="75"/>
    <x v="6"/>
    <x v="2"/>
    <x v="1"/>
    <x v="0"/>
    <x v="4"/>
    <x v="4"/>
    <x v="0"/>
    <x v="159"/>
    <x v="46"/>
    <x v="160"/>
    <x v="26"/>
  </r>
  <r>
    <x v="121"/>
    <x v="209"/>
    <x v="65"/>
    <x v="6"/>
    <x v="2"/>
    <x v="1"/>
    <x v="1"/>
    <x v="6"/>
    <x v="4"/>
    <x v="2"/>
    <x v="177"/>
    <x v="54"/>
    <x v="177"/>
    <x v="13"/>
  </r>
  <r>
    <x v="171"/>
    <x v="209"/>
    <x v="0"/>
    <x v="6"/>
    <x v="2"/>
    <x v="3"/>
    <x v="0"/>
    <x v="1"/>
    <x v="4"/>
    <x v="0"/>
    <x v="99"/>
    <x v="29"/>
    <x v="93"/>
    <x v="26"/>
  </r>
  <r>
    <x v="461"/>
    <x v="209"/>
    <x v="77"/>
    <x v="6"/>
    <x v="2"/>
    <x v="3"/>
    <x v="4"/>
    <x v="9"/>
    <x v="4"/>
    <x v="2"/>
    <x v="203"/>
    <x v="65"/>
    <x v="206"/>
    <x v="13"/>
  </r>
  <r>
    <x v="213"/>
    <x v="210"/>
    <x v="121"/>
    <x v="7"/>
    <x v="3"/>
    <x v="1"/>
    <x v="5"/>
    <x v="1"/>
    <x v="3"/>
    <x v="2"/>
    <x v="87"/>
    <x v="27"/>
    <x v="74"/>
    <x v="16"/>
  </r>
  <r>
    <x v="370"/>
    <x v="210"/>
    <x v="4"/>
    <x v="5"/>
    <x v="0"/>
    <x v="0"/>
    <x v="2"/>
    <x v="9"/>
    <x v="0"/>
    <x v="2"/>
    <x v="76"/>
    <x v="21"/>
    <x v="76"/>
    <x v="35"/>
  </r>
  <r>
    <x v="448"/>
    <x v="210"/>
    <x v="93"/>
    <x v="7"/>
    <x v="3"/>
    <x v="0"/>
    <x v="2"/>
    <x v="4"/>
    <x v="3"/>
    <x v="0"/>
    <x v="152"/>
    <x v="44"/>
    <x v="152"/>
    <x v="28"/>
  </r>
  <r>
    <x v="16"/>
    <x v="211"/>
    <x v="140"/>
    <x v="5"/>
    <x v="0"/>
    <x v="2"/>
    <x v="3"/>
    <x v="1"/>
    <x v="0"/>
    <x v="2"/>
    <x v="10"/>
    <x v="2"/>
    <x v="11"/>
    <x v="35"/>
  </r>
  <r>
    <x v="45"/>
    <x v="211"/>
    <x v="189"/>
    <x v="5"/>
    <x v="0"/>
    <x v="0"/>
    <x v="2"/>
    <x v="5"/>
    <x v="0"/>
    <x v="4"/>
    <x v="36"/>
    <x v="10"/>
    <x v="33"/>
    <x v="25"/>
  </r>
  <r>
    <x v="414"/>
    <x v="211"/>
    <x v="152"/>
    <x v="2"/>
    <x v="0"/>
    <x v="1"/>
    <x v="4"/>
    <x v="3"/>
    <x v="1"/>
    <x v="0"/>
    <x v="55"/>
    <x v="14"/>
    <x v="61"/>
    <x v="36"/>
  </r>
  <r>
    <x v="132"/>
    <x v="212"/>
    <x v="183"/>
    <x v="3"/>
    <x v="1"/>
    <x v="2"/>
    <x v="1"/>
    <x v="7"/>
    <x v="7"/>
    <x v="0"/>
    <x v="240"/>
    <x v="75"/>
    <x v="248"/>
    <x v="21"/>
  </r>
  <r>
    <x v="376"/>
    <x v="212"/>
    <x v="9"/>
    <x v="5"/>
    <x v="0"/>
    <x v="2"/>
    <x v="0"/>
    <x v="0"/>
    <x v="0"/>
    <x v="2"/>
    <x v="2"/>
    <x v="0"/>
    <x v="2"/>
    <x v="35"/>
  </r>
  <r>
    <x v="102"/>
    <x v="213"/>
    <x v="99"/>
    <x v="4"/>
    <x v="1"/>
    <x v="3"/>
    <x v="5"/>
    <x v="8"/>
    <x v="5"/>
    <x v="3"/>
    <x v="202"/>
    <x v="66"/>
    <x v="195"/>
    <x v="7"/>
  </r>
  <r>
    <x v="142"/>
    <x v="213"/>
    <x v="159"/>
    <x v="5"/>
    <x v="0"/>
    <x v="0"/>
    <x v="1"/>
    <x v="7"/>
    <x v="0"/>
    <x v="0"/>
    <x v="60"/>
    <x v="15"/>
    <x v="68"/>
    <x v="39"/>
  </r>
  <r>
    <x v="280"/>
    <x v="214"/>
    <x v="189"/>
    <x v="5"/>
    <x v="0"/>
    <x v="0"/>
    <x v="5"/>
    <x v="6"/>
    <x v="0"/>
    <x v="0"/>
    <x v="51"/>
    <x v="13"/>
    <x v="60"/>
    <x v="39"/>
  </r>
  <r>
    <x v="444"/>
    <x v="215"/>
    <x v="36"/>
    <x v="5"/>
    <x v="0"/>
    <x v="2"/>
    <x v="5"/>
    <x v="9"/>
    <x v="0"/>
    <x v="1"/>
    <x v="77"/>
    <x v="21"/>
    <x v="80"/>
    <x v="38"/>
  </r>
  <r>
    <x v="23"/>
    <x v="216"/>
    <x v="122"/>
    <x v="1"/>
    <x v="0"/>
    <x v="2"/>
    <x v="0"/>
    <x v="2"/>
    <x v="2"/>
    <x v="2"/>
    <x v="45"/>
    <x v="11"/>
    <x v="48"/>
    <x v="32"/>
  </r>
  <r>
    <x v="278"/>
    <x v="217"/>
    <x v="169"/>
    <x v="3"/>
    <x v="1"/>
    <x v="1"/>
    <x v="3"/>
    <x v="9"/>
    <x v="7"/>
    <x v="2"/>
    <x v="245"/>
    <x v="77"/>
    <x v="250"/>
    <x v="10"/>
  </r>
  <r>
    <x v="174"/>
    <x v="218"/>
    <x v="74"/>
    <x v="1"/>
    <x v="0"/>
    <x v="2"/>
    <x v="5"/>
    <x v="4"/>
    <x v="2"/>
    <x v="0"/>
    <x v="83"/>
    <x v="23"/>
    <x v="86"/>
    <x v="37"/>
  </r>
  <r>
    <x v="315"/>
    <x v="219"/>
    <x v="118"/>
    <x v="1"/>
    <x v="0"/>
    <x v="2"/>
    <x v="3"/>
    <x v="5"/>
    <x v="2"/>
    <x v="3"/>
    <x v="88"/>
    <x v="25"/>
    <x v="81"/>
    <x v="29"/>
  </r>
  <r>
    <x v="367"/>
    <x v="219"/>
    <x v="61"/>
    <x v="4"/>
    <x v="1"/>
    <x v="2"/>
    <x v="0"/>
    <x v="8"/>
    <x v="5"/>
    <x v="2"/>
    <x v="206"/>
    <x v="66"/>
    <x v="210"/>
    <x v="12"/>
  </r>
  <r>
    <x v="434"/>
    <x v="219"/>
    <x v="32"/>
    <x v="5"/>
    <x v="0"/>
    <x v="2"/>
    <x v="5"/>
    <x v="9"/>
    <x v="0"/>
    <x v="3"/>
    <x v="71"/>
    <x v="21"/>
    <x v="67"/>
    <x v="30"/>
  </r>
  <r>
    <x v="58"/>
    <x v="220"/>
    <x v="95"/>
    <x v="2"/>
    <x v="0"/>
    <x v="0"/>
    <x v="5"/>
    <x v="1"/>
    <x v="1"/>
    <x v="3"/>
    <x v="20"/>
    <x v="5"/>
    <x v="19"/>
    <x v="27"/>
  </r>
  <r>
    <x v="328"/>
    <x v="220"/>
    <x v="65"/>
    <x v="1"/>
    <x v="0"/>
    <x v="1"/>
    <x v="4"/>
    <x v="7"/>
    <x v="2"/>
    <x v="3"/>
    <x v="106"/>
    <x v="31"/>
    <x v="105"/>
    <x v="29"/>
  </r>
  <r>
    <x v="31"/>
    <x v="221"/>
    <x v="171"/>
    <x v="3"/>
    <x v="1"/>
    <x v="1"/>
    <x v="3"/>
    <x v="2"/>
    <x v="7"/>
    <x v="4"/>
    <x v="198"/>
    <x v="67"/>
    <x v="180"/>
    <x v="0"/>
  </r>
  <r>
    <x v="425"/>
    <x v="221"/>
    <x v="39"/>
    <x v="6"/>
    <x v="2"/>
    <x v="0"/>
    <x v="4"/>
    <x v="9"/>
    <x v="4"/>
    <x v="2"/>
    <x v="203"/>
    <x v="65"/>
    <x v="206"/>
    <x v="13"/>
  </r>
  <r>
    <x v="445"/>
    <x v="221"/>
    <x v="35"/>
    <x v="2"/>
    <x v="0"/>
    <x v="0"/>
    <x v="2"/>
    <x v="6"/>
    <x v="1"/>
    <x v="1"/>
    <x v="92"/>
    <x v="26"/>
    <x v="96"/>
    <x v="33"/>
  </r>
  <r>
    <x v="78"/>
    <x v="222"/>
    <x v="133"/>
    <x v="7"/>
    <x v="3"/>
    <x v="1"/>
    <x v="3"/>
    <x v="8"/>
    <x v="3"/>
    <x v="1"/>
    <x v="186"/>
    <x v="57"/>
    <x v="193"/>
    <x v="23"/>
  </r>
  <r>
    <x v="451"/>
    <x v="222"/>
    <x v="61"/>
    <x v="0"/>
    <x v="2"/>
    <x v="2"/>
    <x v="4"/>
    <x v="9"/>
    <x v="6"/>
    <x v="1"/>
    <x v="224"/>
    <x v="70"/>
    <x v="230"/>
    <x v="18"/>
  </r>
  <r>
    <x v="77"/>
    <x v="223"/>
    <x v="3"/>
    <x v="5"/>
    <x v="0"/>
    <x v="1"/>
    <x v="2"/>
    <x v="3"/>
    <x v="0"/>
    <x v="2"/>
    <x v="26"/>
    <x v="6"/>
    <x v="26"/>
    <x v="35"/>
  </r>
  <r>
    <x v="394"/>
    <x v="223"/>
    <x v="203"/>
    <x v="2"/>
    <x v="0"/>
    <x v="1"/>
    <x v="0"/>
    <x v="8"/>
    <x v="1"/>
    <x v="1"/>
    <x v="111"/>
    <x v="30"/>
    <x v="121"/>
    <x v="33"/>
  </r>
  <r>
    <x v="306"/>
    <x v="224"/>
    <x v="38"/>
    <x v="5"/>
    <x v="0"/>
    <x v="0"/>
    <x v="5"/>
    <x v="1"/>
    <x v="0"/>
    <x v="1"/>
    <x v="12"/>
    <x v="2"/>
    <x v="13"/>
    <x v="38"/>
  </r>
  <r>
    <x v="369"/>
    <x v="224"/>
    <x v="141"/>
    <x v="7"/>
    <x v="3"/>
    <x v="3"/>
    <x v="1"/>
    <x v="0"/>
    <x v="3"/>
    <x v="0"/>
    <x v="44"/>
    <x v="12"/>
    <x v="42"/>
    <x v="28"/>
  </r>
  <r>
    <x v="34"/>
    <x v="225"/>
    <x v="5"/>
    <x v="0"/>
    <x v="2"/>
    <x v="0"/>
    <x v="1"/>
    <x v="6"/>
    <x v="6"/>
    <x v="2"/>
    <x v="195"/>
    <x v="64"/>
    <x v="200"/>
    <x v="11"/>
  </r>
  <r>
    <x v="431"/>
    <x v="225"/>
    <x v="49"/>
    <x v="0"/>
    <x v="2"/>
    <x v="1"/>
    <x v="0"/>
    <x v="7"/>
    <x v="6"/>
    <x v="2"/>
    <x v="209"/>
    <x v="67"/>
    <x v="211"/>
    <x v="11"/>
  </r>
  <r>
    <x v="55"/>
    <x v="226"/>
    <x v="3"/>
    <x v="5"/>
    <x v="0"/>
    <x v="0"/>
    <x v="4"/>
    <x v="0"/>
    <x v="0"/>
    <x v="0"/>
    <x v="4"/>
    <x v="0"/>
    <x v="4"/>
    <x v="39"/>
  </r>
  <r>
    <x v="187"/>
    <x v="226"/>
    <x v="47"/>
    <x v="7"/>
    <x v="3"/>
    <x v="3"/>
    <x v="0"/>
    <x v="7"/>
    <x v="3"/>
    <x v="2"/>
    <x v="177"/>
    <x v="53"/>
    <x v="179"/>
    <x v="16"/>
  </r>
  <r>
    <x v="388"/>
    <x v="227"/>
    <x v="207"/>
    <x v="3"/>
    <x v="1"/>
    <x v="3"/>
    <x v="0"/>
    <x v="9"/>
    <x v="7"/>
    <x v="0"/>
    <x v="246"/>
    <x v="77"/>
    <x v="251"/>
    <x v="21"/>
  </r>
  <r>
    <x v="33"/>
    <x v="228"/>
    <x v="112"/>
    <x v="4"/>
    <x v="1"/>
    <x v="1"/>
    <x v="3"/>
    <x v="6"/>
    <x v="5"/>
    <x v="1"/>
    <x v="189"/>
    <x v="60"/>
    <x v="194"/>
    <x v="19"/>
  </r>
  <r>
    <x v="348"/>
    <x v="228"/>
    <x v="114"/>
    <x v="1"/>
    <x v="0"/>
    <x v="3"/>
    <x v="5"/>
    <x v="8"/>
    <x v="2"/>
    <x v="2"/>
    <x v="127"/>
    <x v="34"/>
    <x v="126"/>
    <x v="32"/>
  </r>
  <r>
    <x v="300"/>
    <x v="229"/>
    <x v="54"/>
    <x v="3"/>
    <x v="1"/>
    <x v="0"/>
    <x v="5"/>
    <x v="1"/>
    <x v="7"/>
    <x v="2"/>
    <x v="179"/>
    <x v="56"/>
    <x v="175"/>
    <x v="10"/>
  </r>
  <r>
    <x v="314"/>
    <x v="229"/>
    <x v="162"/>
    <x v="2"/>
    <x v="0"/>
    <x v="1"/>
    <x v="0"/>
    <x v="7"/>
    <x v="1"/>
    <x v="3"/>
    <x v="95"/>
    <x v="28"/>
    <x v="92"/>
    <x v="27"/>
  </r>
  <r>
    <x v="499"/>
    <x v="229"/>
    <x v="32"/>
    <x v="5"/>
    <x v="0"/>
    <x v="0"/>
    <x v="4"/>
    <x v="2"/>
    <x v="0"/>
    <x v="1"/>
    <x v="19"/>
    <x v="4"/>
    <x v="20"/>
    <x v="38"/>
  </r>
  <r>
    <x v="94"/>
    <x v="230"/>
    <x v="132"/>
    <x v="0"/>
    <x v="2"/>
    <x v="2"/>
    <x v="1"/>
    <x v="8"/>
    <x v="6"/>
    <x v="2"/>
    <x v="216"/>
    <x v="69"/>
    <x v="221"/>
    <x v="11"/>
  </r>
  <r>
    <x v="87"/>
    <x v="231"/>
    <x v="19"/>
    <x v="3"/>
    <x v="1"/>
    <x v="3"/>
    <x v="3"/>
    <x v="7"/>
    <x v="7"/>
    <x v="0"/>
    <x v="240"/>
    <x v="75"/>
    <x v="248"/>
    <x v="21"/>
  </r>
  <r>
    <x v="38"/>
    <x v="232"/>
    <x v="2"/>
    <x v="3"/>
    <x v="1"/>
    <x v="0"/>
    <x v="2"/>
    <x v="5"/>
    <x v="7"/>
    <x v="2"/>
    <x v="230"/>
    <x v="73"/>
    <x v="237"/>
    <x v="10"/>
  </r>
  <r>
    <x v="273"/>
    <x v="232"/>
    <x v="201"/>
    <x v="1"/>
    <x v="0"/>
    <x v="2"/>
    <x v="4"/>
    <x v="1"/>
    <x v="2"/>
    <x v="0"/>
    <x v="31"/>
    <x v="7"/>
    <x v="32"/>
    <x v="37"/>
  </r>
  <r>
    <x v="44"/>
    <x v="233"/>
    <x v="137"/>
    <x v="5"/>
    <x v="0"/>
    <x v="3"/>
    <x v="2"/>
    <x v="3"/>
    <x v="0"/>
    <x v="1"/>
    <x v="28"/>
    <x v="6"/>
    <x v="29"/>
    <x v="38"/>
  </r>
  <r>
    <x v="4"/>
    <x v="234"/>
    <x v="146"/>
    <x v="2"/>
    <x v="0"/>
    <x v="1"/>
    <x v="0"/>
    <x v="1"/>
    <x v="1"/>
    <x v="1"/>
    <x v="24"/>
    <x v="5"/>
    <x v="24"/>
    <x v="33"/>
  </r>
  <r>
    <x v="11"/>
    <x v="234"/>
    <x v="63"/>
    <x v="7"/>
    <x v="3"/>
    <x v="2"/>
    <x v="5"/>
    <x v="0"/>
    <x v="3"/>
    <x v="2"/>
    <x v="41"/>
    <x v="12"/>
    <x v="34"/>
    <x v="16"/>
  </r>
  <r>
    <x v="165"/>
    <x v="234"/>
    <x v="37"/>
    <x v="3"/>
    <x v="1"/>
    <x v="0"/>
    <x v="1"/>
    <x v="6"/>
    <x v="7"/>
    <x v="3"/>
    <x v="234"/>
    <x v="74"/>
    <x v="236"/>
    <x v="5"/>
  </r>
  <r>
    <x v="140"/>
    <x v="235"/>
    <x v="48"/>
    <x v="1"/>
    <x v="0"/>
    <x v="0"/>
    <x v="5"/>
    <x v="1"/>
    <x v="2"/>
    <x v="0"/>
    <x v="31"/>
    <x v="7"/>
    <x v="32"/>
    <x v="37"/>
  </r>
  <r>
    <x v="149"/>
    <x v="235"/>
    <x v="93"/>
    <x v="1"/>
    <x v="0"/>
    <x v="2"/>
    <x v="0"/>
    <x v="9"/>
    <x v="2"/>
    <x v="2"/>
    <x v="132"/>
    <x v="37"/>
    <x v="132"/>
    <x v="32"/>
  </r>
  <r>
    <x v="61"/>
    <x v="236"/>
    <x v="24"/>
    <x v="7"/>
    <x v="3"/>
    <x v="0"/>
    <x v="0"/>
    <x v="0"/>
    <x v="3"/>
    <x v="0"/>
    <x v="44"/>
    <x v="12"/>
    <x v="42"/>
    <x v="28"/>
  </r>
  <r>
    <x v="276"/>
    <x v="237"/>
    <x v="191"/>
    <x v="3"/>
    <x v="1"/>
    <x v="1"/>
    <x v="3"/>
    <x v="4"/>
    <x v="7"/>
    <x v="2"/>
    <x v="228"/>
    <x v="72"/>
    <x v="234"/>
    <x v="10"/>
  </r>
  <r>
    <x v="168"/>
    <x v="238"/>
    <x v="174"/>
    <x v="7"/>
    <x v="3"/>
    <x v="2"/>
    <x v="2"/>
    <x v="2"/>
    <x v="3"/>
    <x v="0"/>
    <x v="123"/>
    <x v="35"/>
    <x v="120"/>
    <x v="28"/>
  </r>
  <r>
    <x v="336"/>
    <x v="238"/>
    <x v="20"/>
    <x v="6"/>
    <x v="2"/>
    <x v="0"/>
    <x v="3"/>
    <x v="2"/>
    <x v="4"/>
    <x v="0"/>
    <x v="134"/>
    <x v="38"/>
    <x v="127"/>
    <x v="26"/>
  </r>
  <r>
    <x v="464"/>
    <x v="238"/>
    <x v="215"/>
    <x v="5"/>
    <x v="0"/>
    <x v="3"/>
    <x v="1"/>
    <x v="1"/>
    <x v="0"/>
    <x v="1"/>
    <x v="12"/>
    <x v="2"/>
    <x v="13"/>
    <x v="38"/>
  </r>
  <r>
    <x v="251"/>
    <x v="239"/>
    <x v="15"/>
    <x v="3"/>
    <x v="1"/>
    <x v="2"/>
    <x v="5"/>
    <x v="5"/>
    <x v="7"/>
    <x v="2"/>
    <x v="230"/>
    <x v="73"/>
    <x v="237"/>
    <x v="10"/>
  </r>
  <r>
    <x v="449"/>
    <x v="240"/>
    <x v="15"/>
    <x v="0"/>
    <x v="2"/>
    <x v="2"/>
    <x v="2"/>
    <x v="5"/>
    <x v="6"/>
    <x v="0"/>
    <x v="188"/>
    <x v="59"/>
    <x v="199"/>
    <x v="22"/>
  </r>
  <r>
    <x v="454"/>
    <x v="240"/>
    <x v="210"/>
    <x v="6"/>
    <x v="2"/>
    <x v="3"/>
    <x v="0"/>
    <x v="7"/>
    <x v="4"/>
    <x v="2"/>
    <x v="185"/>
    <x v="58"/>
    <x v="190"/>
    <x v="13"/>
  </r>
  <r>
    <x v="153"/>
    <x v="241"/>
    <x v="78"/>
    <x v="2"/>
    <x v="0"/>
    <x v="3"/>
    <x v="5"/>
    <x v="8"/>
    <x v="1"/>
    <x v="0"/>
    <x v="113"/>
    <x v="30"/>
    <x v="124"/>
    <x v="36"/>
  </r>
  <r>
    <x v="480"/>
    <x v="241"/>
    <x v="167"/>
    <x v="5"/>
    <x v="0"/>
    <x v="1"/>
    <x v="4"/>
    <x v="2"/>
    <x v="0"/>
    <x v="3"/>
    <x v="17"/>
    <x v="4"/>
    <x v="17"/>
    <x v="30"/>
  </r>
  <r>
    <x v="179"/>
    <x v="242"/>
    <x v="160"/>
    <x v="2"/>
    <x v="0"/>
    <x v="1"/>
    <x v="0"/>
    <x v="2"/>
    <x v="1"/>
    <x v="2"/>
    <x v="37"/>
    <x v="9"/>
    <x v="36"/>
    <x v="31"/>
  </r>
  <r>
    <x v="447"/>
    <x v="243"/>
    <x v="143"/>
    <x v="0"/>
    <x v="2"/>
    <x v="2"/>
    <x v="0"/>
    <x v="5"/>
    <x v="6"/>
    <x v="4"/>
    <x v="180"/>
    <x v="59"/>
    <x v="158"/>
    <x v="1"/>
  </r>
  <r>
    <x v="230"/>
    <x v="244"/>
    <x v="185"/>
    <x v="0"/>
    <x v="2"/>
    <x v="2"/>
    <x v="2"/>
    <x v="7"/>
    <x v="6"/>
    <x v="0"/>
    <x v="214"/>
    <x v="67"/>
    <x v="223"/>
    <x v="22"/>
  </r>
  <r>
    <x v="270"/>
    <x v="244"/>
    <x v="175"/>
    <x v="0"/>
    <x v="2"/>
    <x v="3"/>
    <x v="4"/>
    <x v="7"/>
    <x v="6"/>
    <x v="4"/>
    <x v="199"/>
    <x v="67"/>
    <x v="182"/>
    <x v="1"/>
  </r>
  <r>
    <x v="157"/>
    <x v="245"/>
    <x v="107"/>
    <x v="4"/>
    <x v="1"/>
    <x v="1"/>
    <x v="3"/>
    <x v="6"/>
    <x v="5"/>
    <x v="0"/>
    <x v="190"/>
    <x v="60"/>
    <x v="202"/>
    <x v="24"/>
  </r>
  <r>
    <x v="466"/>
    <x v="245"/>
    <x v="6"/>
    <x v="1"/>
    <x v="0"/>
    <x v="1"/>
    <x v="2"/>
    <x v="2"/>
    <x v="2"/>
    <x v="2"/>
    <x v="45"/>
    <x v="11"/>
    <x v="48"/>
    <x v="32"/>
  </r>
  <r>
    <x v="129"/>
    <x v="246"/>
    <x v="187"/>
    <x v="5"/>
    <x v="0"/>
    <x v="3"/>
    <x v="4"/>
    <x v="9"/>
    <x v="0"/>
    <x v="2"/>
    <x v="76"/>
    <x v="21"/>
    <x v="76"/>
    <x v="35"/>
  </r>
  <r>
    <x v="383"/>
    <x v="246"/>
    <x v="91"/>
    <x v="6"/>
    <x v="2"/>
    <x v="0"/>
    <x v="1"/>
    <x v="9"/>
    <x v="4"/>
    <x v="2"/>
    <x v="203"/>
    <x v="65"/>
    <x v="206"/>
    <x v="13"/>
  </r>
  <r>
    <x v="437"/>
    <x v="246"/>
    <x v="165"/>
    <x v="1"/>
    <x v="0"/>
    <x v="1"/>
    <x v="1"/>
    <x v="3"/>
    <x v="2"/>
    <x v="3"/>
    <x v="57"/>
    <x v="17"/>
    <x v="55"/>
    <x v="29"/>
  </r>
  <r>
    <x v="17"/>
    <x v="247"/>
    <x v="198"/>
    <x v="1"/>
    <x v="0"/>
    <x v="1"/>
    <x v="0"/>
    <x v="3"/>
    <x v="2"/>
    <x v="1"/>
    <x v="65"/>
    <x v="17"/>
    <x v="66"/>
    <x v="34"/>
  </r>
  <r>
    <x v="47"/>
    <x v="247"/>
    <x v="212"/>
    <x v="7"/>
    <x v="3"/>
    <x v="3"/>
    <x v="3"/>
    <x v="8"/>
    <x v="3"/>
    <x v="1"/>
    <x v="186"/>
    <x v="57"/>
    <x v="193"/>
    <x v="23"/>
  </r>
  <r>
    <x v="57"/>
    <x v="247"/>
    <x v="171"/>
    <x v="3"/>
    <x v="1"/>
    <x v="0"/>
    <x v="4"/>
    <x v="7"/>
    <x v="7"/>
    <x v="3"/>
    <x v="237"/>
    <x v="75"/>
    <x v="240"/>
    <x v="5"/>
  </r>
  <r>
    <x v="218"/>
    <x v="247"/>
    <x v="27"/>
    <x v="1"/>
    <x v="0"/>
    <x v="0"/>
    <x v="4"/>
    <x v="9"/>
    <x v="2"/>
    <x v="4"/>
    <x v="125"/>
    <x v="37"/>
    <x v="111"/>
    <x v="15"/>
  </r>
  <r>
    <x v="274"/>
    <x v="247"/>
    <x v="161"/>
    <x v="3"/>
    <x v="1"/>
    <x v="3"/>
    <x v="2"/>
    <x v="1"/>
    <x v="7"/>
    <x v="0"/>
    <x v="183"/>
    <x v="56"/>
    <x v="189"/>
    <x v="21"/>
  </r>
  <r>
    <x v="387"/>
    <x v="247"/>
    <x v="94"/>
    <x v="7"/>
    <x v="3"/>
    <x v="3"/>
    <x v="5"/>
    <x v="4"/>
    <x v="3"/>
    <x v="3"/>
    <x v="148"/>
    <x v="44"/>
    <x v="136"/>
    <x v="9"/>
  </r>
  <r>
    <x v="91"/>
    <x v="248"/>
    <x v="19"/>
    <x v="5"/>
    <x v="0"/>
    <x v="0"/>
    <x v="5"/>
    <x v="1"/>
    <x v="0"/>
    <x v="0"/>
    <x v="13"/>
    <x v="2"/>
    <x v="15"/>
    <x v="39"/>
  </r>
  <r>
    <x v="289"/>
    <x v="248"/>
    <x v="109"/>
    <x v="1"/>
    <x v="0"/>
    <x v="2"/>
    <x v="1"/>
    <x v="9"/>
    <x v="2"/>
    <x v="2"/>
    <x v="132"/>
    <x v="37"/>
    <x v="132"/>
    <x v="32"/>
  </r>
  <r>
    <x v="450"/>
    <x v="249"/>
    <x v="65"/>
    <x v="0"/>
    <x v="2"/>
    <x v="0"/>
    <x v="0"/>
    <x v="8"/>
    <x v="6"/>
    <x v="2"/>
    <x v="216"/>
    <x v="69"/>
    <x v="221"/>
    <x v="11"/>
  </r>
  <r>
    <x v="303"/>
    <x v="250"/>
    <x v="183"/>
    <x v="0"/>
    <x v="2"/>
    <x v="3"/>
    <x v="5"/>
    <x v="3"/>
    <x v="6"/>
    <x v="0"/>
    <x v="162"/>
    <x v="48"/>
    <x v="166"/>
    <x v="22"/>
  </r>
  <r>
    <x v="343"/>
    <x v="250"/>
    <x v="29"/>
    <x v="4"/>
    <x v="1"/>
    <x v="1"/>
    <x v="2"/>
    <x v="5"/>
    <x v="5"/>
    <x v="0"/>
    <x v="182"/>
    <x v="55"/>
    <x v="189"/>
    <x v="24"/>
  </r>
  <r>
    <x v="416"/>
    <x v="250"/>
    <x v="52"/>
    <x v="6"/>
    <x v="2"/>
    <x v="2"/>
    <x v="2"/>
    <x v="3"/>
    <x v="4"/>
    <x v="4"/>
    <x v="141"/>
    <x v="42"/>
    <x v="109"/>
    <x v="3"/>
  </r>
  <r>
    <x v="114"/>
    <x v="251"/>
    <x v="93"/>
    <x v="7"/>
    <x v="3"/>
    <x v="0"/>
    <x v="1"/>
    <x v="0"/>
    <x v="3"/>
    <x v="2"/>
    <x v="41"/>
    <x v="12"/>
    <x v="34"/>
    <x v="16"/>
  </r>
  <r>
    <x v="74"/>
    <x v="252"/>
    <x v="135"/>
    <x v="6"/>
    <x v="2"/>
    <x v="3"/>
    <x v="2"/>
    <x v="6"/>
    <x v="4"/>
    <x v="0"/>
    <x v="182"/>
    <x v="54"/>
    <x v="191"/>
    <x v="26"/>
  </r>
  <r>
    <x v="397"/>
    <x v="253"/>
    <x v="152"/>
    <x v="0"/>
    <x v="2"/>
    <x v="2"/>
    <x v="5"/>
    <x v="4"/>
    <x v="6"/>
    <x v="2"/>
    <x v="175"/>
    <x v="52"/>
    <x v="172"/>
    <x v="11"/>
  </r>
  <r>
    <x v="487"/>
    <x v="254"/>
    <x v="198"/>
    <x v="5"/>
    <x v="0"/>
    <x v="3"/>
    <x v="3"/>
    <x v="4"/>
    <x v="0"/>
    <x v="0"/>
    <x v="34"/>
    <x v="8"/>
    <x v="42"/>
    <x v="39"/>
  </r>
  <r>
    <x v="43"/>
    <x v="255"/>
    <x v="199"/>
    <x v="1"/>
    <x v="0"/>
    <x v="2"/>
    <x v="4"/>
    <x v="4"/>
    <x v="2"/>
    <x v="0"/>
    <x v="83"/>
    <x v="23"/>
    <x v="86"/>
    <x v="37"/>
  </r>
  <r>
    <x v="30"/>
    <x v="256"/>
    <x v="182"/>
    <x v="6"/>
    <x v="2"/>
    <x v="3"/>
    <x v="1"/>
    <x v="0"/>
    <x v="4"/>
    <x v="1"/>
    <x v="49"/>
    <x v="16"/>
    <x v="45"/>
    <x v="20"/>
  </r>
  <r>
    <x v="76"/>
    <x v="256"/>
    <x v="138"/>
    <x v="5"/>
    <x v="0"/>
    <x v="0"/>
    <x v="1"/>
    <x v="3"/>
    <x v="0"/>
    <x v="2"/>
    <x v="26"/>
    <x v="6"/>
    <x v="26"/>
    <x v="35"/>
  </r>
  <r>
    <x v="211"/>
    <x v="256"/>
    <x v="36"/>
    <x v="7"/>
    <x v="3"/>
    <x v="1"/>
    <x v="3"/>
    <x v="5"/>
    <x v="3"/>
    <x v="0"/>
    <x v="161"/>
    <x v="47"/>
    <x v="167"/>
    <x v="28"/>
  </r>
  <r>
    <x v="135"/>
    <x v="257"/>
    <x v="26"/>
    <x v="6"/>
    <x v="2"/>
    <x v="0"/>
    <x v="1"/>
    <x v="8"/>
    <x v="4"/>
    <x v="0"/>
    <x v="197"/>
    <x v="62"/>
    <x v="208"/>
    <x v="26"/>
  </r>
  <r>
    <x v="194"/>
    <x v="257"/>
    <x v="176"/>
    <x v="7"/>
    <x v="3"/>
    <x v="1"/>
    <x v="1"/>
    <x v="0"/>
    <x v="3"/>
    <x v="3"/>
    <x v="38"/>
    <x v="12"/>
    <x v="28"/>
    <x v="9"/>
  </r>
  <r>
    <x v="352"/>
    <x v="257"/>
    <x v="22"/>
    <x v="3"/>
    <x v="1"/>
    <x v="0"/>
    <x v="3"/>
    <x v="1"/>
    <x v="7"/>
    <x v="0"/>
    <x v="183"/>
    <x v="56"/>
    <x v="189"/>
    <x v="21"/>
  </r>
  <r>
    <x v="339"/>
    <x v="258"/>
    <x v="128"/>
    <x v="5"/>
    <x v="0"/>
    <x v="3"/>
    <x v="1"/>
    <x v="8"/>
    <x v="0"/>
    <x v="3"/>
    <x v="61"/>
    <x v="18"/>
    <x v="62"/>
    <x v="30"/>
  </r>
  <r>
    <x v="399"/>
    <x v="258"/>
    <x v="162"/>
    <x v="3"/>
    <x v="1"/>
    <x v="3"/>
    <x v="1"/>
    <x v="6"/>
    <x v="7"/>
    <x v="3"/>
    <x v="234"/>
    <x v="74"/>
    <x v="236"/>
    <x v="5"/>
  </r>
  <r>
    <x v="12"/>
    <x v="259"/>
    <x v="6"/>
    <x v="2"/>
    <x v="0"/>
    <x v="2"/>
    <x v="2"/>
    <x v="5"/>
    <x v="1"/>
    <x v="2"/>
    <x v="82"/>
    <x v="24"/>
    <x v="79"/>
    <x v="31"/>
  </r>
  <r>
    <x v="483"/>
    <x v="259"/>
    <x v="137"/>
    <x v="0"/>
    <x v="2"/>
    <x v="1"/>
    <x v="0"/>
    <x v="6"/>
    <x v="6"/>
    <x v="2"/>
    <x v="195"/>
    <x v="64"/>
    <x v="200"/>
    <x v="11"/>
  </r>
  <r>
    <x v="212"/>
    <x v="260"/>
    <x v="29"/>
    <x v="6"/>
    <x v="2"/>
    <x v="0"/>
    <x v="2"/>
    <x v="2"/>
    <x v="4"/>
    <x v="0"/>
    <x v="134"/>
    <x v="38"/>
    <x v="127"/>
    <x v="26"/>
  </r>
  <r>
    <x v="301"/>
    <x v="260"/>
    <x v="204"/>
    <x v="3"/>
    <x v="1"/>
    <x v="3"/>
    <x v="3"/>
    <x v="6"/>
    <x v="7"/>
    <x v="3"/>
    <x v="234"/>
    <x v="74"/>
    <x v="236"/>
    <x v="5"/>
  </r>
  <r>
    <x v="284"/>
    <x v="261"/>
    <x v="107"/>
    <x v="4"/>
    <x v="1"/>
    <x v="1"/>
    <x v="0"/>
    <x v="4"/>
    <x v="5"/>
    <x v="2"/>
    <x v="165"/>
    <x v="49"/>
    <x v="161"/>
    <x v="12"/>
  </r>
  <r>
    <x v="73"/>
    <x v="262"/>
    <x v="17"/>
    <x v="4"/>
    <x v="1"/>
    <x v="1"/>
    <x v="3"/>
    <x v="8"/>
    <x v="5"/>
    <x v="3"/>
    <x v="202"/>
    <x v="66"/>
    <x v="195"/>
    <x v="7"/>
  </r>
  <r>
    <x v="272"/>
    <x v="262"/>
    <x v="196"/>
    <x v="1"/>
    <x v="0"/>
    <x v="3"/>
    <x v="2"/>
    <x v="3"/>
    <x v="2"/>
    <x v="2"/>
    <x v="62"/>
    <x v="17"/>
    <x v="64"/>
    <x v="32"/>
  </r>
  <r>
    <x v="373"/>
    <x v="262"/>
    <x v="180"/>
    <x v="1"/>
    <x v="0"/>
    <x v="2"/>
    <x v="4"/>
    <x v="2"/>
    <x v="2"/>
    <x v="2"/>
    <x v="45"/>
    <x v="11"/>
    <x v="48"/>
    <x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4" cacheId="0" applyNumberFormats="0" applyBorderFormats="0" applyFontFormats="0" applyPatternFormats="0" applyAlignmentFormats="0" applyWidthHeightFormats="0" dataCaption="Values" itemPrintTitles="1" indent="0" outline="1" outlineData="1">
  <location ref="G18:J23" firstHeaderRow="0" firstDataRow="1" firstDataCol="1"/>
  <pivotFields count="15"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 v="4"/>
    </i>
  </rowItems>
  <colFields count="1">
    <field x="-2"/>
  </colFields>
  <colItems count="1">
    <i t="grand">
      <x/>
    </i>
  </colItems>
  <dataFields count="3">
    <dataField name="Sum of Revenue" fld="10" baseField="0" baseItem="0" numFmtId="4"/>
    <dataField name="Sum of Profit" fld="12" baseField="0" baseItem="0" numFmtId="4"/>
    <dataField name="Sum of Quantity" fld="7" baseField="0" baseItem="0" numFmtId="3"/>
  </dataFields>
  <formats count="4">
    <format>
      <pivotArea outline="0" fieldPosition="0"/>
    </format>
    <format>
      <pivotArea dataOnly="0" labelOnly="1" outline="0" fieldPosition="0"/>
    </format>
    <format>
      <pivotArea outline="0" fieldPosition="0"/>
    </format>
    <format>
      <pivotArea dataOnly="0" labelOnly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4" cacheId="0" applyNumberFormats="0" applyBorderFormats="0" applyFontFormats="0" applyPatternFormats="0" applyAlignmentFormats="0" applyWidthHeightFormats="0" dataCaption="Values" itemPrintTitles="1" indent="0" outline="1" outlineData="1">
  <location ref="G3:I12" firstHeaderRow="0" firstDataRow="1" firstDataCol="1"/>
  <pivotFields count="15"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 v="8"/>
    </i>
  </rowItems>
  <colFields count="1">
    <field x="-2"/>
  </colFields>
  <colItems count="1">
    <i t="grand">
      <x/>
    </i>
  </colItems>
  <dataFields count="2">
    <dataField name="Sum of Revenue" fld="10" baseField="0" baseItem="0" numFmtId="4"/>
    <dataField name="Sum of Profit" fld="12" baseField="0" baseItem="0" numFmtId="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2" cacheId="0" applyNumberFormats="0" applyBorderFormats="0" applyFontFormats="0" applyPatternFormats="0" applyAlignmentFormats="0" applyWidthHeightFormats="0" dataCaption="Values" itemPrintTitles="1" indent="0" outline="1" outlineData="1">
  <location ref="G47:J61" firstHeaderRow="0" firstDataRow="1" firstDataCol="1"/>
  <pivotFields count="15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</pivotFields>
  <rowFields count="2">
    <field x="14"/>
    <field x="1"/>
  </rowFields>
  <rowItems count="14">
    <i>
      <x/>
    </i>
    <i>
      <x v="1"/>
    </i>
    <i>
      <x v="2"/>
    </i>
    <i>
      <x v="3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>
      <x v="1048832"/>
    </i>
    <i t="grand">
      <x v="1048832"/>
    </i>
  </rowItems>
  <colFields count="1">
    <field x="-2"/>
  </colFields>
  <colItems count="1">
    <i t="grand">
      <x/>
    </i>
  </colItems>
  <dataFields count="3">
    <dataField name="Sum of Revenue" fld="10" baseField="0" baseItem="0" numFmtId="4"/>
    <dataField name="Sum of Profit" fld="12" baseField="0" baseItem="0" numFmtId="4"/>
    <dataField name="Sum of Quantity" fld="7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7" cacheId="0" applyNumberFormats="0" applyBorderFormats="0" applyFontFormats="0" applyPatternFormats="0" applyAlignmentFormats="0" applyWidthHeightFormats="0" dataCaption="Values" itemPrintTitles="1" indent="0" outline="1" outlineData="1">
  <location ref="G27:J32" firstHeaderRow="0" firstDataRow="1" firstDataCol="1"/>
  <pivotFields count="15"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 v="4"/>
    </i>
  </rowItems>
  <colFields count="1">
    <field x="-2"/>
  </colFields>
  <colItems count="1">
    <i t="grand">
      <x/>
    </i>
  </colItems>
  <dataFields count="3">
    <dataField name="Sum of Revenue" fld="10" baseField="0" baseItem="0" numFmtId="4"/>
    <dataField name="Sum of Profit" fld="12" baseField="0" baseItem="0" numFmtId="4"/>
    <dataField name="Sum of Quantity" fld="7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zoomScale="90" zoomScaleNormal="90" workbookViewId="0">
      <pane ySplit="1" topLeftCell="A2" activePane="bottomLeft" state="frozen"/>
      <selection pane="bottomLeft" activeCell="P2" sqref="P2"/>
    </sheetView>
  </sheetViews>
  <sheetFormatPr defaultColWidth="8.6328125" defaultRowHeight="14.25" customHeight="1" x14ac:dyDescent="0.35"/>
  <cols>
    <col min="1" max="1" width="13.7265625" style="9" customWidth="1"/>
    <col min="2" max="2" width="18" style="9" customWidth="1"/>
    <col min="3" max="3" width="17" style="9" customWidth="1"/>
    <col min="4" max="4" width="12.6328125" style="9" customWidth="1"/>
    <col min="5" max="5" width="15.6328125" style="9" customWidth="1"/>
    <col min="6" max="6" width="11.7265625" style="9" customWidth="1"/>
    <col min="7" max="7" width="16.08984375" style="9" customWidth="1"/>
    <col min="8" max="8" width="8.26953125" style="9" customWidth="1"/>
    <col min="9" max="9" width="8.54296875" style="9" customWidth="1"/>
    <col min="10" max="10" width="10.81640625" style="9" customWidth="1"/>
    <col min="11" max="11" width="8.1796875" style="9" customWidth="1"/>
    <col min="12" max="13" width="8" style="9" customWidth="1"/>
    <col min="14" max="14" width="15" style="9" customWidth="1"/>
  </cols>
  <sheetData>
    <row r="1" spans="1:14" ht="28.5" customHeight="1" x14ac:dyDescent="0.35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3" t="s">
        <v>8</v>
      </c>
      <c r="J1" s="14" t="s">
        <v>9</v>
      </c>
      <c r="K1" s="13" t="s">
        <v>10</v>
      </c>
      <c r="L1" s="13" t="s">
        <v>11</v>
      </c>
      <c r="M1" s="13" t="s">
        <v>12</v>
      </c>
      <c r="N1" s="14" t="s">
        <v>13</v>
      </c>
    </row>
    <row r="2" spans="1:14" ht="14.5" x14ac:dyDescent="0.35">
      <c r="A2" s="9" t="s">
        <v>14</v>
      </c>
      <c r="B2" s="15">
        <v>45658</v>
      </c>
      <c r="C2" s="9" t="s">
        <v>15</v>
      </c>
      <c r="D2" s="9" t="s">
        <v>16</v>
      </c>
      <c r="E2" s="9" t="s">
        <v>17</v>
      </c>
      <c r="F2" s="9" t="s">
        <v>18</v>
      </c>
      <c r="G2" s="9" t="s">
        <v>19</v>
      </c>
      <c r="H2" s="16">
        <v>3</v>
      </c>
      <c r="I2" s="17">
        <v>210</v>
      </c>
      <c r="J2" s="18">
        <v>0</v>
      </c>
      <c r="K2" s="17">
        <v>630</v>
      </c>
      <c r="L2" s="17">
        <v>375</v>
      </c>
      <c r="M2" s="17">
        <v>255</v>
      </c>
      <c r="N2" s="18">
        <v>0.40479999999999999</v>
      </c>
    </row>
    <row r="3" spans="1:14" ht="14.5" x14ac:dyDescent="0.35">
      <c r="A3" s="9" t="s">
        <v>20</v>
      </c>
      <c r="B3" s="15">
        <v>45658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25</v>
      </c>
      <c r="H3" s="16">
        <v>6</v>
      </c>
      <c r="I3" s="17">
        <v>65</v>
      </c>
      <c r="J3" s="18">
        <v>0</v>
      </c>
      <c r="K3" s="17">
        <v>390</v>
      </c>
      <c r="L3" s="17">
        <v>210</v>
      </c>
      <c r="M3" s="17">
        <v>180</v>
      </c>
      <c r="N3" s="18">
        <v>0.46150000000000002</v>
      </c>
    </row>
    <row r="4" spans="1:14" ht="14.5" x14ac:dyDescent="0.35">
      <c r="A4" s="9" t="s">
        <v>26</v>
      </c>
      <c r="B4" s="15">
        <v>45658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25</v>
      </c>
      <c r="H4" s="16">
        <v>8</v>
      </c>
      <c r="I4" s="17">
        <v>850</v>
      </c>
      <c r="J4" s="18">
        <v>0.05</v>
      </c>
      <c r="K4" s="17">
        <v>6460</v>
      </c>
      <c r="L4" s="17">
        <v>4160</v>
      </c>
      <c r="M4" s="17">
        <v>2300</v>
      </c>
      <c r="N4" s="18">
        <v>0.35599999999999998</v>
      </c>
    </row>
    <row r="5" spans="1:14" ht="14.5" x14ac:dyDescent="0.35">
      <c r="A5" s="9" t="s">
        <v>31</v>
      </c>
      <c r="B5" s="15">
        <v>45658</v>
      </c>
      <c r="C5" s="9" t="s">
        <v>32</v>
      </c>
      <c r="D5" s="9" t="s">
        <v>33</v>
      </c>
      <c r="E5" s="9" t="s">
        <v>34</v>
      </c>
      <c r="F5" s="9" t="s">
        <v>24</v>
      </c>
      <c r="G5" s="9" t="s">
        <v>35</v>
      </c>
      <c r="H5" s="16">
        <v>4</v>
      </c>
      <c r="I5" s="17">
        <v>320</v>
      </c>
      <c r="J5" s="18">
        <v>0</v>
      </c>
      <c r="K5" s="17">
        <v>1280</v>
      </c>
      <c r="L5" s="17">
        <v>780</v>
      </c>
      <c r="M5" s="17">
        <v>500</v>
      </c>
      <c r="N5" s="18">
        <v>0.3906</v>
      </c>
    </row>
    <row r="6" spans="1:14" ht="14.5" x14ac:dyDescent="0.35">
      <c r="A6" s="9" t="s">
        <v>36</v>
      </c>
      <c r="B6" s="15">
        <v>45661</v>
      </c>
      <c r="C6" s="9" t="s">
        <v>37</v>
      </c>
      <c r="D6" s="9" t="s">
        <v>22</v>
      </c>
      <c r="E6" s="9" t="s">
        <v>23</v>
      </c>
      <c r="F6" s="9" t="s">
        <v>38</v>
      </c>
      <c r="G6" s="9" t="s">
        <v>35</v>
      </c>
      <c r="H6" s="16">
        <v>6</v>
      </c>
      <c r="I6" s="17">
        <v>65</v>
      </c>
      <c r="J6" s="18">
        <v>0.02</v>
      </c>
      <c r="K6" s="17">
        <v>382.2</v>
      </c>
      <c r="L6" s="17">
        <v>210</v>
      </c>
      <c r="M6" s="17">
        <v>172.2</v>
      </c>
      <c r="N6" s="18">
        <v>0.45050000000000001</v>
      </c>
    </row>
    <row r="7" spans="1:14" ht="14.5" x14ac:dyDescent="0.35">
      <c r="A7" s="9" t="s">
        <v>39</v>
      </c>
      <c r="B7" s="15">
        <v>45662</v>
      </c>
      <c r="C7" s="9" t="s">
        <v>40</v>
      </c>
      <c r="D7" s="9" t="s">
        <v>33</v>
      </c>
      <c r="E7" s="9" t="s">
        <v>34</v>
      </c>
      <c r="F7" s="9" t="s">
        <v>18</v>
      </c>
      <c r="G7" s="9" t="s">
        <v>35</v>
      </c>
      <c r="H7" s="16">
        <v>8</v>
      </c>
      <c r="I7" s="17">
        <v>320</v>
      </c>
      <c r="J7" s="18">
        <v>0.05</v>
      </c>
      <c r="K7" s="17">
        <v>2432</v>
      </c>
      <c r="L7" s="17">
        <v>1560</v>
      </c>
      <c r="M7" s="17">
        <v>872</v>
      </c>
      <c r="N7" s="18">
        <v>0.35859999999999997</v>
      </c>
    </row>
    <row r="8" spans="1:14" ht="14.5" x14ac:dyDescent="0.35">
      <c r="A8" s="9" t="s">
        <v>41</v>
      </c>
      <c r="B8" s="15">
        <v>45662</v>
      </c>
      <c r="C8" s="9" t="s">
        <v>42</v>
      </c>
      <c r="D8" s="9" t="s">
        <v>43</v>
      </c>
      <c r="E8" s="9" t="s">
        <v>23</v>
      </c>
      <c r="F8" s="9" t="s">
        <v>30</v>
      </c>
      <c r="G8" s="9" t="s">
        <v>19</v>
      </c>
      <c r="H8" s="16">
        <v>1</v>
      </c>
      <c r="I8" s="17">
        <v>75</v>
      </c>
      <c r="J8" s="18">
        <v>0.05</v>
      </c>
      <c r="K8" s="17">
        <v>71.25</v>
      </c>
      <c r="L8" s="17">
        <v>40</v>
      </c>
      <c r="M8" s="17">
        <v>31.25</v>
      </c>
      <c r="N8" s="18">
        <v>0.43859999999999999</v>
      </c>
    </row>
    <row r="9" spans="1:14" ht="14.5" x14ac:dyDescent="0.35">
      <c r="A9" s="9" t="s">
        <v>44</v>
      </c>
      <c r="B9" s="15">
        <v>45662</v>
      </c>
      <c r="C9" s="9" t="s">
        <v>45</v>
      </c>
      <c r="D9" s="9" t="s">
        <v>28</v>
      </c>
      <c r="E9" s="9" t="s">
        <v>29</v>
      </c>
      <c r="F9" s="9" t="s">
        <v>18</v>
      </c>
      <c r="G9" s="9" t="s">
        <v>46</v>
      </c>
      <c r="H9" s="16">
        <v>9</v>
      </c>
      <c r="I9" s="17">
        <v>850</v>
      </c>
      <c r="J9" s="18">
        <v>0.15</v>
      </c>
      <c r="K9" s="17">
        <v>6502.5</v>
      </c>
      <c r="L9" s="17">
        <v>4680</v>
      </c>
      <c r="M9" s="17">
        <v>1822.5</v>
      </c>
      <c r="N9" s="18">
        <v>0.28029999999999999</v>
      </c>
    </row>
    <row r="10" spans="1:14" ht="14.5" x14ac:dyDescent="0.35">
      <c r="A10" s="9" t="s">
        <v>47</v>
      </c>
      <c r="B10" s="15">
        <v>45662</v>
      </c>
      <c r="C10" s="9" t="s">
        <v>48</v>
      </c>
      <c r="D10" s="9" t="s">
        <v>22</v>
      </c>
      <c r="E10" s="9" t="s">
        <v>23</v>
      </c>
      <c r="F10" s="9" t="s">
        <v>24</v>
      </c>
      <c r="G10" s="9" t="s">
        <v>49</v>
      </c>
      <c r="H10" s="16">
        <v>7</v>
      </c>
      <c r="I10" s="17">
        <v>65</v>
      </c>
      <c r="J10" s="18">
        <v>0.02</v>
      </c>
      <c r="K10" s="17">
        <v>445.9</v>
      </c>
      <c r="L10" s="17">
        <v>245</v>
      </c>
      <c r="M10" s="17">
        <v>200.9</v>
      </c>
      <c r="N10" s="18">
        <v>0.45050000000000001</v>
      </c>
    </row>
    <row r="11" spans="1:14" ht="14.5" x14ac:dyDescent="0.35">
      <c r="A11" s="9" t="s">
        <v>50</v>
      </c>
      <c r="B11" s="15">
        <v>45663</v>
      </c>
      <c r="C11" s="9" t="s">
        <v>51</v>
      </c>
      <c r="D11" s="9" t="s">
        <v>52</v>
      </c>
      <c r="E11" s="9" t="s">
        <v>23</v>
      </c>
      <c r="F11" s="9" t="s">
        <v>38</v>
      </c>
      <c r="G11" s="9" t="s">
        <v>53</v>
      </c>
      <c r="H11" s="16">
        <v>5</v>
      </c>
      <c r="I11" s="17">
        <v>35</v>
      </c>
      <c r="J11" s="18">
        <v>0.1</v>
      </c>
      <c r="K11" s="17">
        <v>157.5</v>
      </c>
      <c r="L11" s="17">
        <v>90</v>
      </c>
      <c r="M11" s="17">
        <v>67.5</v>
      </c>
      <c r="N11" s="18">
        <v>0.42859999999999998</v>
      </c>
    </row>
    <row r="12" spans="1:14" ht="14.5" x14ac:dyDescent="0.35">
      <c r="A12" s="9" t="s">
        <v>54</v>
      </c>
      <c r="B12" s="15">
        <v>45664</v>
      </c>
      <c r="C12" s="9" t="s">
        <v>55</v>
      </c>
      <c r="D12" s="9" t="s">
        <v>22</v>
      </c>
      <c r="E12" s="9" t="s">
        <v>23</v>
      </c>
      <c r="F12" s="9" t="s">
        <v>18</v>
      </c>
      <c r="G12" s="9" t="s">
        <v>46</v>
      </c>
      <c r="H12" s="16">
        <v>1</v>
      </c>
      <c r="I12" s="17">
        <v>65</v>
      </c>
      <c r="J12" s="18">
        <v>0.05</v>
      </c>
      <c r="K12" s="17">
        <v>61.75</v>
      </c>
      <c r="L12" s="17">
        <v>35</v>
      </c>
      <c r="M12" s="17">
        <v>26.75</v>
      </c>
      <c r="N12" s="18">
        <v>0.43319999999999997</v>
      </c>
    </row>
    <row r="13" spans="1:14" ht="14.5" x14ac:dyDescent="0.35">
      <c r="A13" s="9" t="s">
        <v>56</v>
      </c>
      <c r="B13" s="15">
        <v>45665</v>
      </c>
      <c r="C13" s="9" t="s">
        <v>57</v>
      </c>
      <c r="D13" s="9" t="s">
        <v>52</v>
      </c>
      <c r="E13" s="9" t="s">
        <v>23</v>
      </c>
      <c r="F13" s="9" t="s">
        <v>38</v>
      </c>
      <c r="G13" s="9" t="s">
        <v>25</v>
      </c>
      <c r="H13" s="16">
        <v>2</v>
      </c>
      <c r="I13" s="17">
        <v>35</v>
      </c>
      <c r="J13" s="18">
        <v>0.05</v>
      </c>
      <c r="K13" s="17">
        <v>66.5</v>
      </c>
      <c r="L13" s="17">
        <v>36</v>
      </c>
      <c r="M13" s="17">
        <v>30.5</v>
      </c>
      <c r="N13" s="18">
        <v>0.45860000000000001</v>
      </c>
    </row>
    <row r="14" spans="1:14" ht="14.5" x14ac:dyDescent="0.35">
      <c r="A14" s="9" t="s">
        <v>58</v>
      </c>
      <c r="B14" s="15">
        <v>45665</v>
      </c>
      <c r="C14" s="9" t="s">
        <v>59</v>
      </c>
      <c r="D14" s="9" t="s">
        <v>60</v>
      </c>
      <c r="E14" s="9" t="s">
        <v>34</v>
      </c>
      <c r="F14" s="9" t="s">
        <v>30</v>
      </c>
      <c r="G14" s="9" t="s">
        <v>19</v>
      </c>
      <c r="H14" s="16">
        <v>1</v>
      </c>
      <c r="I14" s="17">
        <v>240</v>
      </c>
      <c r="J14" s="18">
        <v>0.05</v>
      </c>
      <c r="K14" s="17">
        <v>228</v>
      </c>
      <c r="L14" s="17">
        <v>145</v>
      </c>
      <c r="M14" s="17">
        <v>83</v>
      </c>
      <c r="N14" s="18">
        <v>0.36399999999999999</v>
      </c>
    </row>
    <row r="15" spans="1:14" ht="14.5" x14ac:dyDescent="0.35">
      <c r="A15" s="9" t="s">
        <v>61</v>
      </c>
      <c r="B15" s="15">
        <v>45666</v>
      </c>
      <c r="C15" s="9" t="s">
        <v>62</v>
      </c>
      <c r="D15" s="9" t="s">
        <v>22</v>
      </c>
      <c r="E15" s="9" t="s">
        <v>23</v>
      </c>
      <c r="F15" s="9" t="s">
        <v>30</v>
      </c>
      <c r="G15" s="9" t="s">
        <v>35</v>
      </c>
      <c r="H15" s="16">
        <v>1</v>
      </c>
      <c r="I15" s="17">
        <v>65</v>
      </c>
      <c r="J15" s="18">
        <v>0.02</v>
      </c>
      <c r="K15" s="17">
        <v>63.7</v>
      </c>
      <c r="L15" s="17">
        <v>35</v>
      </c>
      <c r="M15" s="17">
        <v>28.7</v>
      </c>
      <c r="N15" s="18">
        <v>0.45050000000000001</v>
      </c>
    </row>
    <row r="16" spans="1:14" ht="14.5" x14ac:dyDescent="0.35">
      <c r="A16" s="9" t="s">
        <v>63</v>
      </c>
      <c r="B16" s="15">
        <v>45667</v>
      </c>
      <c r="C16" s="9" t="s">
        <v>64</v>
      </c>
      <c r="D16" s="9" t="s">
        <v>16</v>
      </c>
      <c r="E16" s="9" t="s">
        <v>17</v>
      </c>
      <c r="F16" s="9" t="s">
        <v>30</v>
      </c>
      <c r="G16" s="9" t="s">
        <v>19</v>
      </c>
      <c r="H16" s="16">
        <v>7</v>
      </c>
      <c r="I16" s="17">
        <v>210</v>
      </c>
      <c r="J16" s="18">
        <v>0.05</v>
      </c>
      <c r="K16" s="17">
        <v>1396.5</v>
      </c>
      <c r="L16" s="17">
        <v>875</v>
      </c>
      <c r="M16" s="17">
        <v>521.5</v>
      </c>
      <c r="N16" s="18">
        <v>0.37340000000000001</v>
      </c>
    </row>
    <row r="17" spans="1:14" ht="14.5" x14ac:dyDescent="0.35">
      <c r="A17" s="9" t="s">
        <v>65</v>
      </c>
      <c r="B17" s="15">
        <v>45667</v>
      </c>
      <c r="C17" s="9" t="s">
        <v>66</v>
      </c>
      <c r="D17" s="9" t="s">
        <v>22</v>
      </c>
      <c r="E17" s="9" t="s">
        <v>23</v>
      </c>
      <c r="F17" s="9" t="s">
        <v>24</v>
      </c>
      <c r="G17" s="9" t="s">
        <v>53</v>
      </c>
      <c r="H17" s="16">
        <v>5</v>
      </c>
      <c r="I17" s="17">
        <v>65</v>
      </c>
      <c r="J17" s="18">
        <v>0.02</v>
      </c>
      <c r="K17" s="17">
        <v>318.5</v>
      </c>
      <c r="L17" s="17">
        <v>175</v>
      </c>
      <c r="M17" s="17">
        <v>143.5</v>
      </c>
      <c r="N17" s="18">
        <v>0.45050000000000001</v>
      </c>
    </row>
    <row r="18" spans="1:14" ht="14.5" x14ac:dyDescent="0.35">
      <c r="A18" s="9" t="s">
        <v>67</v>
      </c>
      <c r="B18" s="15">
        <v>45669</v>
      </c>
      <c r="C18" s="9" t="s">
        <v>68</v>
      </c>
      <c r="D18" s="9" t="s">
        <v>22</v>
      </c>
      <c r="E18" s="9" t="s">
        <v>23</v>
      </c>
      <c r="F18" s="9" t="s">
        <v>30</v>
      </c>
      <c r="G18" s="9" t="s">
        <v>19</v>
      </c>
      <c r="H18" s="16">
        <v>3</v>
      </c>
      <c r="I18" s="17">
        <v>65</v>
      </c>
      <c r="J18" s="18">
        <v>0.05</v>
      </c>
      <c r="K18" s="17">
        <v>185.25</v>
      </c>
      <c r="L18" s="17">
        <v>105</v>
      </c>
      <c r="M18" s="17">
        <v>80.25</v>
      </c>
      <c r="N18" s="18">
        <v>0.43319999999999997</v>
      </c>
    </row>
    <row r="19" spans="1:14" ht="14.5" x14ac:dyDescent="0.35">
      <c r="A19" s="9" t="s">
        <v>69</v>
      </c>
      <c r="B19" s="15">
        <v>45669</v>
      </c>
      <c r="C19" s="9" t="s">
        <v>70</v>
      </c>
      <c r="D19" s="9" t="s">
        <v>43</v>
      </c>
      <c r="E19" s="9" t="s">
        <v>23</v>
      </c>
      <c r="F19" s="9" t="s">
        <v>18</v>
      </c>
      <c r="G19" s="9" t="s">
        <v>53</v>
      </c>
      <c r="H19" s="16">
        <v>1</v>
      </c>
      <c r="I19" s="17">
        <v>75</v>
      </c>
      <c r="J19" s="18">
        <v>0</v>
      </c>
      <c r="K19" s="17">
        <v>75</v>
      </c>
      <c r="L19" s="17">
        <v>40</v>
      </c>
      <c r="M19" s="17">
        <v>35</v>
      </c>
      <c r="N19" s="18">
        <v>0.4667</v>
      </c>
    </row>
    <row r="20" spans="1:14" ht="14.5" x14ac:dyDescent="0.35">
      <c r="A20" s="9" t="s">
        <v>71</v>
      </c>
      <c r="B20" s="15">
        <v>45670</v>
      </c>
      <c r="C20" s="9" t="s">
        <v>72</v>
      </c>
      <c r="D20" s="9" t="s">
        <v>52</v>
      </c>
      <c r="E20" s="9" t="s">
        <v>23</v>
      </c>
      <c r="F20" s="9" t="s">
        <v>38</v>
      </c>
      <c r="G20" s="9" t="s">
        <v>53</v>
      </c>
      <c r="H20" s="16">
        <v>9</v>
      </c>
      <c r="I20" s="17">
        <v>35</v>
      </c>
      <c r="J20" s="18">
        <v>0.02</v>
      </c>
      <c r="K20" s="17">
        <v>308.7</v>
      </c>
      <c r="L20" s="17">
        <v>162</v>
      </c>
      <c r="M20" s="17">
        <v>146.69999999999999</v>
      </c>
      <c r="N20" s="18">
        <v>0.47520000000000001</v>
      </c>
    </row>
    <row r="21" spans="1:14" ht="14.5" x14ac:dyDescent="0.35">
      <c r="A21" s="9" t="s">
        <v>73</v>
      </c>
      <c r="B21" s="15">
        <v>45670</v>
      </c>
      <c r="C21" s="9" t="s">
        <v>74</v>
      </c>
      <c r="D21" s="9" t="s">
        <v>33</v>
      </c>
      <c r="E21" s="9" t="s">
        <v>34</v>
      </c>
      <c r="F21" s="9" t="s">
        <v>38</v>
      </c>
      <c r="G21" s="9" t="s">
        <v>35</v>
      </c>
      <c r="H21" s="16">
        <v>3</v>
      </c>
      <c r="I21" s="17">
        <v>320</v>
      </c>
      <c r="J21" s="18">
        <v>0.05</v>
      </c>
      <c r="K21" s="17">
        <v>912</v>
      </c>
      <c r="L21" s="17">
        <v>585</v>
      </c>
      <c r="M21" s="17">
        <v>327</v>
      </c>
      <c r="N21" s="18">
        <v>0.35859999999999997</v>
      </c>
    </row>
    <row r="22" spans="1:14" ht="14.5" x14ac:dyDescent="0.35">
      <c r="A22" s="9" t="s">
        <v>75</v>
      </c>
      <c r="B22" s="15">
        <v>45671</v>
      </c>
      <c r="C22" s="9" t="s">
        <v>76</v>
      </c>
      <c r="D22" s="9" t="s">
        <v>43</v>
      </c>
      <c r="E22" s="9" t="s">
        <v>23</v>
      </c>
      <c r="F22" s="9" t="s">
        <v>18</v>
      </c>
      <c r="G22" s="9" t="s">
        <v>53</v>
      </c>
      <c r="H22" s="16">
        <v>8</v>
      </c>
      <c r="I22" s="17">
        <v>75</v>
      </c>
      <c r="J22" s="18">
        <v>0</v>
      </c>
      <c r="K22" s="17">
        <v>600</v>
      </c>
      <c r="L22" s="17">
        <v>320</v>
      </c>
      <c r="M22" s="17">
        <v>280</v>
      </c>
      <c r="N22" s="18">
        <v>0.4667</v>
      </c>
    </row>
    <row r="23" spans="1:14" ht="14.5" x14ac:dyDescent="0.35">
      <c r="A23" s="9" t="s">
        <v>77</v>
      </c>
      <c r="B23" s="15">
        <v>45673</v>
      </c>
      <c r="C23" s="9" t="s">
        <v>78</v>
      </c>
      <c r="D23" s="9" t="s">
        <v>22</v>
      </c>
      <c r="E23" s="9" t="s">
        <v>23</v>
      </c>
      <c r="F23" s="9" t="s">
        <v>38</v>
      </c>
      <c r="G23" s="9" t="s">
        <v>25</v>
      </c>
      <c r="H23" s="16">
        <v>10</v>
      </c>
      <c r="I23" s="17">
        <v>65</v>
      </c>
      <c r="J23" s="18">
        <v>0.05</v>
      </c>
      <c r="K23" s="17">
        <v>617.5</v>
      </c>
      <c r="L23" s="17">
        <v>350</v>
      </c>
      <c r="M23" s="17">
        <v>267.5</v>
      </c>
      <c r="N23" s="18">
        <v>0.43319999999999997</v>
      </c>
    </row>
    <row r="24" spans="1:14" ht="14.5" x14ac:dyDescent="0.35">
      <c r="A24" s="9" t="s">
        <v>79</v>
      </c>
      <c r="B24" s="15">
        <v>45675</v>
      </c>
      <c r="C24" s="9" t="s">
        <v>80</v>
      </c>
      <c r="D24" s="9" t="s">
        <v>60</v>
      </c>
      <c r="E24" s="9" t="s">
        <v>34</v>
      </c>
      <c r="F24" s="9" t="s">
        <v>38</v>
      </c>
      <c r="G24" s="9" t="s">
        <v>25</v>
      </c>
      <c r="H24" s="16">
        <v>1</v>
      </c>
      <c r="I24" s="17">
        <v>240</v>
      </c>
      <c r="J24" s="18">
        <v>0.05</v>
      </c>
      <c r="K24" s="17">
        <v>228</v>
      </c>
      <c r="L24" s="17">
        <v>145</v>
      </c>
      <c r="M24" s="17">
        <v>83</v>
      </c>
      <c r="N24" s="18">
        <v>0.36399999999999999</v>
      </c>
    </row>
    <row r="25" spans="1:14" ht="14.5" x14ac:dyDescent="0.35">
      <c r="A25" s="9" t="s">
        <v>81</v>
      </c>
      <c r="B25" s="15">
        <v>45676</v>
      </c>
      <c r="C25" s="9" t="s">
        <v>82</v>
      </c>
      <c r="D25" s="9" t="s">
        <v>22</v>
      </c>
      <c r="E25" s="9" t="s">
        <v>23</v>
      </c>
      <c r="F25" s="9" t="s">
        <v>24</v>
      </c>
      <c r="G25" s="9" t="s">
        <v>19</v>
      </c>
      <c r="H25" s="16">
        <v>4</v>
      </c>
      <c r="I25" s="17">
        <v>65</v>
      </c>
      <c r="J25" s="18">
        <v>0.02</v>
      </c>
      <c r="K25" s="17">
        <v>254.8</v>
      </c>
      <c r="L25" s="17">
        <v>140</v>
      </c>
      <c r="M25" s="17">
        <v>114.8</v>
      </c>
      <c r="N25" s="18">
        <v>0.45050000000000001</v>
      </c>
    </row>
    <row r="26" spans="1:14" ht="14.5" x14ac:dyDescent="0.35">
      <c r="A26" s="9" t="s">
        <v>83</v>
      </c>
      <c r="B26" s="15">
        <v>45676</v>
      </c>
      <c r="C26" s="9" t="s">
        <v>84</v>
      </c>
      <c r="D26" s="9" t="s">
        <v>28</v>
      </c>
      <c r="E26" s="9" t="s">
        <v>29</v>
      </c>
      <c r="F26" s="9" t="s">
        <v>30</v>
      </c>
      <c r="G26" s="9" t="s">
        <v>19</v>
      </c>
      <c r="H26" s="16">
        <v>4</v>
      </c>
      <c r="I26" s="17">
        <v>850</v>
      </c>
      <c r="J26" s="18">
        <v>0.05</v>
      </c>
      <c r="K26" s="17">
        <v>3230</v>
      </c>
      <c r="L26" s="17">
        <v>2080</v>
      </c>
      <c r="M26" s="17">
        <v>1150</v>
      </c>
      <c r="N26" s="18">
        <v>0.35599999999999998</v>
      </c>
    </row>
    <row r="27" spans="1:14" ht="14.5" x14ac:dyDescent="0.35">
      <c r="A27" s="9" t="s">
        <v>85</v>
      </c>
      <c r="B27" s="15">
        <v>45677</v>
      </c>
      <c r="C27" s="9" t="s">
        <v>86</v>
      </c>
      <c r="D27" s="9" t="s">
        <v>28</v>
      </c>
      <c r="E27" s="9" t="s">
        <v>29</v>
      </c>
      <c r="F27" s="9" t="s">
        <v>18</v>
      </c>
      <c r="G27" s="9" t="s">
        <v>53</v>
      </c>
      <c r="H27" s="16">
        <v>4</v>
      </c>
      <c r="I27" s="17">
        <v>850</v>
      </c>
      <c r="J27" s="18">
        <v>0.05</v>
      </c>
      <c r="K27" s="17">
        <v>3230</v>
      </c>
      <c r="L27" s="17">
        <v>2080</v>
      </c>
      <c r="M27" s="17">
        <v>1150</v>
      </c>
      <c r="N27" s="18">
        <v>0.35599999999999998</v>
      </c>
    </row>
    <row r="28" spans="1:14" ht="14.5" x14ac:dyDescent="0.35">
      <c r="A28" s="9" t="s">
        <v>87</v>
      </c>
      <c r="B28" s="15">
        <v>45677</v>
      </c>
      <c r="C28" s="9" t="s">
        <v>66</v>
      </c>
      <c r="D28" s="9" t="s">
        <v>33</v>
      </c>
      <c r="E28" s="9" t="s">
        <v>34</v>
      </c>
      <c r="F28" s="9" t="s">
        <v>24</v>
      </c>
      <c r="G28" s="9" t="s">
        <v>49</v>
      </c>
      <c r="H28" s="16">
        <v>2</v>
      </c>
      <c r="I28" s="17">
        <v>320</v>
      </c>
      <c r="J28" s="18">
        <v>0</v>
      </c>
      <c r="K28" s="17">
        <v>640</v>
      </c>
      <c r="L28" s="17">
        <v>390</v>
      </c>
      <c r="M28" s="17">
        <v>250</v>
      </c>
      <c r="N28" s="18">
        <v>0.3906</v>
      </c>
    </row>
    <row r="29" spans="1:14" ht="14.5" x14ac:dyDescent="0.35">
      <c r="A29" s="9" t="s">
        <v>88</v>
      </c>
      <c r="B29" s="15">
        <v>45680</v>
      </c>
      <c r="C29" s="9" t="s">
        <v>89</v>
      </c>
      <c r="D29" s="9" t="s">
        <v>28</v>
      </c>
      <c r="E29" s="9" t="s">
        <v>29</v>
      </c>
      <c r="F29" s="9" t="s">
        <v>38</v>
      </c>
      <c r="G29" s="9" t="s">
        <v>46</v>
      </c>
      <c r="H29" s="16">
        <v>6</v>
      </c>
      <c r="I29" s="17">
        <v>850</v>
      </c>
      <c r="J29" s="18">
        <v>0</v>
      </c>
      <c r="K29" s="17">
        <v>5100</v>
      </c>
      <c r="L29" s="17">
        <v>3120</v>
      </c>
      <c r="M29" s="17">
        <v>1980</v>
      </c>
      <c r="N29" s="18">
        <v>0.38819999999999999</v>
      </c>
    </row>
    <row r="30" spans="1:14" ht="14.5" x14ac:dyDescent="0.35">
      <c r="A30" s="9" t="s">
        <v>90</v>
      </c>
      <c r="B30" s="15">
        <v>45680</v>
      </c>
      <c r="C30" s="9" t="s">
        <v>91</v>
      </c>
      <c r="D30" s="9" t="s">
        <v>52</v>
      </c>
      <c r="E30" s="9" t="s">
        <v>23</v>
      </c>
      <c r="F30" s="9" t="s">
        <v>24</v>
      </c>
      <c r="G30" s="9" t="s">
        <v>53</v>
      </c>
      <c r="H30" s="16">
        <v>2</v>
      </c>
      <c r="I30" s="17">
        <v>35</v>
      </c>
      <c r="J30" s="18">
        <v>0.1</v>
      </c>
      <c r="K30" s="17">
        <v>63</v>
      </c>
      <c r="L30" s="17">
        <v>36</v>
      </c>
      <c r="M30" s="17">
        <v>27</v>
      </c>
      <c r="N30" s="18">
        <v>0.42859999999999998</v>
      </c>
    </row>
    <row r="31" spans="1:14" ht="14.5" x14ac:dyDescent="0.35">
      <c r="A31" s="9" t="s">
        <v>92</v>
      </c>
      <c r="B31" s="15">
        <v>45682</v>
      </c>
      <c r="C31" s="9" t="s">
        <v>93</v>
      </c>
      <c r="D31" s="9" t="s">
        <v>52</v>
      </c>
      <c r="E31" s="9" t="s">
        <v>23</v>
      </c>
      <c r="F31" s="9" t="s">
        <v>18</v>
      </c>
      <c r="G31" s="9" t="s">
        <v>46</v>
      </c>
      <c r="H31" s="16">
        <v>2</v>
      </c>
      <c r="I31" s="17">
        <v>35</v>
      </c>
      <c r="J31" s="18">
        <v>0</v>
      </c>
      <c r="K31" s="17">
        <v>70</v>
      </c>
      <c r="L31" s="17">
        <v>36</v>
      </c>
      <c r="M31" s="17">
        <v>34</v>
      </c>
      <c r="N31" s="18">
        <v>0.48570000000000002</v>
      </c>
    </row>
    <row r="32" spans="1:14" ht="14.5" x14ac:dyDescent="0.35">
      <c r="A32" s="9" t="s">
        <v>94</v>
      </c>
      <c r="B32" s="15">
        <v>45683</v>
      </c>
      <c r="C32" s="9" t="s">
        <v>95</v>
      </c>
      <c r="D32" s="9" t="s">
        <v>52</v>
      </c>
      <c r="E32" s="9" t="s">
        <v>23</v>
      </c>
      <c r="F32" s="9" t="s">
        <v>24</v>
      </c>
      <c r="G32" s="9" t="s">
        <v>46</v>
      </c>
      <c r="H32" s="16">
        <v>4</v>
      </c>
      <c r="I32" s="17">
        <v>35</v>
      </c>
      <c r="J32" s="18">
        <v>0.02</v>
      </c>
      <c r="K32" s="17">
        <v>137.19999999999999</v>
      </c>
      <c r="L32" s="17">
        <v>72</v>
      </c>
      <c r="M32" s="17">
        <v>65.2</v>
      </c>
      <c r="N32" s="18">
        <v>0.47520000000000001</v>
      </c>
    </row>
    <row r="33" spans="1:14" ht="14.5" x14ac:dyDescent="0.35">
      <c r="A33" s="9" t="s">
        <v>96</v>
      </c>
      <c r="B33" s="15">
        <v>45685</v>
      </c>
      <c r="C33" s="9" t="s">
        <v>97</v>
      </c>
      <c r="D33" s="9" t="s">
        <v>52</v>
      </c>
      <c r="E33" s="9" t="s">
        <v>23</v>
      </c>
      <c r="F33" s="9" t="s">
        <v>30</v>
      </c>
      <c r="G33" s="9" t="s">
        <v>35</v>
      </c>
      <c r="H33" s="16">
        <v>9</v>
      </c>
      <c r="I33" s="17">
        <v>35</v>
      </c>
      <c r="J33" s="18">
        <v>0.02</v>
      </c>
      <c r="K33" s="17">
        <v>308.7</v>
      </c>
      <c r="L33" s="17">
        <v>162</v>
      </c>
      <c r="M33" s="17">
        <v>146.69999999999999</v>
      </c>
      <c r="N33" s="18">
        <v>0.47520000000000001</v>
      </c>
    </row>
    <row r="34" spans="1:14" ht="14.5" x14ac:dyDescent="0.35">
      <c r="A34" s="9" t="s">
        <v>98</v>
      </c>
      <c r="B34" s="15">
        <v>45686</v>
      </c>
      <c r="C34" s="9" t="s">
        <v>99</v>
      </c>
      <c r="D34" s="9" t="s">
        <v>16</v>
      </c>
      <c r="E34" s="9" t="s">
        <v>17</v>
      </c>
      <c r="F34" s="9" t="s">
        <v>24</v>
      </c>
      <c r="G34" s="9" t="s">
        <v>49</v>
      </c>
      <c r="H34" s="16">
        <v>1</v>
      </c>
      <c r="I34" s="17">
        <v>210</v>
      </c>
      <c r="J34" s="18">
        <v>0.05</v>
      </c>
      <c r="K34" s="17">
        <v>199.5</v>
      </c>
      <c r="L34" s="17">
        <v>125</v>
      </c>
      <c r="M34" s="17">
        <v>74.5</v>
      </c>
      <c r="N34" s="18">
        <v>0.37340000000000001</v>
      </c>
    </row>
    <row r="35" spans="1:14" ht="14.5" x14ac:dyDescent="0.35">
      <c r="A35" s="9" t="s">
        <v>100</v>
      </c>
      <c r="B35" s="15">
        <v>45687</v>
      </c>
      <c r="C35" s="9" t="s">
        <v>86</v>
      </c>
      <c r="D35" s="9" t="s">
        <v>22</v>
      </c>
      <c r="E35" s="9" t="s">
        <v>23</v>
      </c>
      <c r="F35" s="9" t="s">
        <v>18</v>
      </c>
      <c r="G35" s="9" t="s">
        <v>25</v>
      </c>
      <c r="H35" s="16">
        <v>10</v>
      </c>
      <c r="I35" s="17">
        <v>65</v>
      </c>
      <c r="J35" s="18">
        <v>0.15</v>
      </c>
      <c r="K35" s="17">
        <v>552.5</v>
      </c>
      <c r="L35" s="17">
        <v>350</v>
      </c>
      <c r="M35" s="17">
        <v>202.5</v>
      </c>
      <c r="N35" s="18">
        <v>0.36649999999999999</v>
      </c>
    </row>
    <row r="36" spans="1:14" ht="14.5" x14ac:dyDescent="0.35">
      <c r="A36" s="9" t="s">
        <v>101</v>
      </c>
      <c r="B36" s="15">
        <v>45690</v>
      </c>
      <c r="C36" s="9" t="s">
        <v>102</v>
      </c>
      <c r="D36" s="9" t="s">
        <v>28</v>
      </c>
      <c r="E36" s="9" t="s">
        <v>29</v>
      </c>
      <c r="F36" s="9" t="s">
        <v>18</v>
      </c>
      <c r="G36" s="9" t="s">
        <v>19</v>
      </c>
      <c r="H36" s="16">
        <v>3</v>
      </c>
      <c r="I36" s="17">
        <v>850</v>
      </c>
      <c r="J36" s="18">
        <v>0.05</v>
      </c>
      <c r="K36" s="17">
        <v>2422.5</v>
      </c>
      <c r="L36" s="17">
        <v>1560</v>
      </c>
      <c r="M36" s="17">
        <v>862.5</v>
      </c>
      <c r="N36" s="18">
        <v>0.35599999999999998</v>
      </c>
    </row>
    <row r="37" spans="1:14" ht="14.5" x14ac:dyDescent="0.35">
      <c r="A37" s="9" t="s">
        <v>103</v>
      </c>
      <c r="B37" s="15">
        <v>45691</v>
      </c>
      <c r="C37" s="9" t="s">
        <v>104</v>
      </c>
      <c r="D37" s="9" t="s">
        <v>28</v>
      </c>
      <c r="E37" s="9" t="s">
        <v>29</v>
      </c>
      <c r="F37" s="9" t="s">
        <v>30</v>
      </c>
      <c r="G37" s="9" t="s">
        <v>19</v>
      </c>
      <c r="H37" s="16">
        <v>5</v>
      </c>
      <c r="I37" s="17">
        <v>850</v>
      </c>
      <c r="J37" s="18">
        <v>0.1</v>
      </c>
      <c r="K37" s="17">
        <v>3825</v>
      </c>
      <c r="L37" s="17">
        <v>2600</v>
      </c>
      <c r="M37" s="17">
        <v>1225</v>
      </c>
      <c r="N37" s="18">
        <v>0.32029999999999997</v>
      </c>
    </row>
    <row r="38" spans="1:14" ht="14.5" x14ac:dyDescent="0.35">
      <c r="A38" s="9" t="s">
        <v>105</v>
      </c>
      <c r="B38" s="15">
        <v>45691</v>
      </c>
      <c r="C38" s="9" t="s">
        <v>74</v>
      </c>
      <c r="D38" s="9" t="s">
        <v>60</v>
      </c>
      <c r="E38" s="9" t="s">
        <v>34</v>
      </c>
      <c r="F38" s="9" t="s">
        <v>30</v>
      </c>
      <c r="G38" s="9" t="s">
        <v>35</v>
      </c>
      <c r="H38" s="16">
        <v>7</v>
      </c>
      <c r="I38" s="17">
        <v>240</v>
      </c>
      <c r="J38" s="18">
        <v>0</v>
      </c>
      <c r="K38" s="17">
        <v>1680</v>
      </c>
      <c r="L38" s="17">
        <v>1015</v>
      </c>
      <c r="M38" s="17">
        <v>665</v>
      </c>
      <c r="N38" s="18">
        <v>0.39579999999999999</v>
      </c>
    </row>
    <row r="39" spans="1:14" ht="14.5" x14ac:dyDescent="0.35">
      <c r="A39" s="9" t="s">
        <v>106</v>
      </c>
      <c r="B39" s="15">
        <v>45692</v>
      </c>
      <c r="C39" s="9" t="s">
        <v>107</v>
      </c>
      <c r="D39" s="9" t="s">
        <v>22</v>
      </c>
      <c r="E39" s="9" t="s">
        <v>23</v>
      </c>
      <c r="F39" s="9" t="s">
        <v>18</v>
      </c>
      <c r="G39" s="9" t="s">
        <v>46</v>
      </c>
      <c r="H39" s="16">
        <v>3</v>
      </c>
      <c r="I39" s="17">
        <v>65</v>
      </c>
      <c r="J39" s="18">
        <v>0.1</v>
      </c>
      <c r="K39" s="17">
        <v>175.5</v>
      </c>
      <c r="L39" s="17">
        <v>105</v>
      </c>
      <c r="M39" s="17">
        <v>70.5</v>
      </c>
      <c r="N39" s="18">
        <v>0.4017</v>
      </c>
    </row>
    <row r="40" spans="1:14" ht="14.5" x14ac:dyDescent="0.35">
      <c r="A40" s="9" t="s">
        <v>108</v>
      </c>
      <c r="B40" s="15">
        <v>45692</v>
      </c>
      <c r="C40" s="9" t="s">
        <v>109</v>
      </c>
      <c r="D40" s="9" t="s">
        <v>28</v>
      </c>
      <c r="E40" s="9" t="s">
        <v>29</v>
      </c>
      <c r="F40" s="9" t="s">
        <v>38</v>
      </c>
      <c r="G40" s="9" t="s">
        <v>35</v>
      </c>
      <c r="H40" s="16">
        <v>3</v>
      </c>
      <c r="I40" s="17">
        <v>850</v>
      </c>
      <c r="J40" s="18">
        <v>0</v>
      </c>
      <c r="K40" s="17">
        <v>2550</v>
      </c>
      <c r="L40" s="17">
        <v>1560</v>
      </c>
      <c r="M40" s="17">
        <v>990</v>
      </c>
      <c r="N40" s="18">
        <v>0.38819999999999999</v>
      </c>
    </row>
    <row r="41" spans="1:14" ht="14.5" x14ac:dyDescent="0.35">
      <c r="A41" s="9" t="s">
        <v>110</v>
      </c>
      <c r="B41" s="15">
        <v>45693</v>
      </c>
      <c r="C41" s="9" t="s">
        <v>111</v>
      </c>
      <c r="D41" s="9" t="s">
        <v>60</v>
      </c>
      <c r="E41" s="9" t="s">
        <v>34</v>
      </c>
      <c r="F41" s="9" t="s">
        <v>30</v>
      </c>
      <c r="G41" s="9" t="s">
        <v>25</v>
      </c>
      <c r="H41" s="16">
        <v>4</v>
      </c>
      <c r="I41" s="17">
        <v>240</v>
      </c>
      <c r="J41" s="18">
        <v>0</v>
      </c>
      <c r="K41" s="17">
        <v>960</v>
      </c>
      <c r="L41" s="17">
        <v>580</v>
      </c>
      <c r="M41" s="17">
        <v>380</v>
      </c>
      <c r="N41" s="18">
        <v>0.39579999999999999</v>
      </c>
    </row>
    <row r="42" spans="1:14" ht="14.5" x14ac:dyDescent="0.35">
      <c r="A42" s="9" t="s">
        <v>112</v>
      </c>
      <c r="B42" s="15">
        <v>45693</v>
      </c>
      <c r="C42" s="9" t="s">
        <v>113</v>
      </c>
      <c r="D42" s="9" t="s">
        <v>22</v>
      </c>
      <c r="E42" s="9" t="s">
        <v>23</v>
      </c>
      <c r="F42" s="9" t="s">
        <v>24</v>
      </c>
      <c r="G42" s="9" t="s">
        <v>53</v>
      </c>
      <c r="H42" s="16">
        <v>5</v>
      </c>
      <c r="I42" s="17">
        <v>65</v>
      </c>
      <c r="J42" s="18">
        <v>0</v>
      </c>
      <c r="K42" s="17">
        <v>325</v>
      </c>
      <c r="L42" s="17">
        <v>175</v>
      </c>
      <c r="M42" s="17">
        <v>150</v>
      </c>
      <c r="N42" s="18">
        <v>0.46150000000000002</v>
      </c>
    </row>
    <row r="43" spans="1:14" ht="14.5" x14ac:dyDescent="0.35">
      <c r="A43" s="9" t="s">
        <v>114</v>
      </c>
      <c r="B43" s="15">
        <v>45694</v>
      </c>
      <c r="C43" s="9" t="s">
        <v>115</v>
      </c>
      <c r="D43" s="9" t="s">
        <v>60</v>
      </c>
      <c r="E43" s="9" t="s">
        <v>34</v>
      </c>
      <c r="F43" s="9" t="s">
        <v>38</v>
      </c>
      <c r="G43" s="9" t="s">
        <v>53</v>
      </c>
      <c r="H43" s="16">
        <v>6</v>
      </c>
      <c r="I43" s="17">
        <v>240</v>
      </c>
      <c r="J43" s="18">
        <v>0.02</v>
      </c>
      <c r="K43" s="17">
        <v>1411.2</v>
      </c>
      <c r="L43" s="17">
        <v>870</v>
      </c>
      <c r="M43" s="17">
        <v>541.20000000000005</v>
      </c>
      <c r="N43" s="18">
        <v>0.38350000000000001</v>
      </c>
    </row>
    <row r="44" spans="1:14" ht="14.5" x14ac:dyDescent="0.35">
      <c r="A44" s="9" t="s">
        <v>116</v>
      </c>
      <c r="B44" s="15">
        <v>45696</v>
      </c>
      <c r="C44" s="9" t="s">
        <v>117</v>
      </c>
      <c r="D44" s="9" t="s">
        <v>33</v>
      </c>
      <c r="E44" s="9" t="s">
        <v>34</v>
      </c>
      <c r="F44" s="9" t="s">
        <v>38</v>
      </c>
      <c r="G44" s="9" t="s">
        <v>35</v>
      </c>
      <c r="H44" s="16">
        <v>10</v>
      </c>
      <c r="I44" s="17">
        <v>320</v>
      </c>
      <c r="J44" s="18">
        <v>0.02</v>
      </c>
      <c r="K44" s="17">
        <v>3136</v>
      </c>
      <c r="L44" s="17">
        <v>1950</v>
      </c>
      <c r="M44" s="17">
        <v>1186</v>
      </c>
      <c r="N44" s="18">
        <v>0.37819999999999998</v>
      </c>
    </row>
    <row r="45" spans="1:14" ht="14.5" x14ac:dyDescent="0.35">
      <c r="A45" s="9" t="s">
        <v>118</v>
      </c>
      <c r="B45" s="15">
        <v>45696</v>
      </c>
      <c r="C45" s="9" t="s">
        <v>119</v>
      </c>
      <c r="D45" s="9" t="s">
        <v>52</v>
      </c>
      <c r="E45" s="9" t="s">
        <v>23</v>
      </c>
      <c r="F45" s="9" t="s">
        <v>24</v>
      </c>
      <c r="G45" s="9" t="s">
        <v>53</v>
      </c>
      <c r="H45" s="16">
        <v>7</v>
      </c>
      <c r="I45" s="17">
        <v>35</v>
      </c>
      <c r="J45" s="18">
        <v>0.02</v>
      </c>
      <c r="K45" s="17">
        <v>240.1</v>
      </c>
      <c r="L45" s="17">
        <v>126</v>
      </c>
      <c r="M45" s="17">
        <v>114.1</v>
      </c>
      <c r="N45" s="18">
        <v>0.47520000000000001</v>
      </c>
    </row>
    <row r="46" spans="1:14" ht="14.5" x14ac:dyDescent="0.35">
      <c r="A46" s="9" t="s">
        <v>120</v>
      </c>
      <c r="B46" s="15">
        <v>45696</v>
      </c>
      <c r="C46" s="9" t="s">
        <v>121</v>
      </c>
      <c r="D46" s="9" t="s">
        <v>43</v>
      </c>
      <c r="E46" s="9" t="s">
        <v>23</v>
      </c>
      <c r="F46" s="9" t="s">
        <v>18</v>
      </c>
      <c r="G46" s="9" t="s">
        <v>49</v>
      </c>
      <c r="H46" s="16">
        <v>9</v>
      </c>
      <c r="I46" s="17">
        <v>75</v>
      </c>
      <c r="J46" s="18">
        <v>0.1</v>
      </c>
      <c r="K46" s="17">
        <v>607.5</v>
      </c>
      <c r="L46" s="17">
        <v>360</v>
      </c>
      <c r="M46" s="17">
        <v>247.5</v>
      </c>
      <c r="N46" s="18">
        <v>0.40739999999999998</v>
      </c>
    </row>
    <row r="47" spans="1:14" ht="14.5" x14ac:dyDescent="0.35">
      <c r="A47" s="9" t="s">
        <v>122</v>
      </c>
      <c r="B47" s="15">
        <v>45696</v>
      </c>
      <c r="C47" s="9" t="s">
        <v>123</v>
      </c>
      <c r="D47" s="9" t="s">
        <v>22</v>
      </c>
      <c r="E47" s="9" t="s">
        <v>23</v>
      </c>
      <c r="F47" s="9" t="s">
        <v>38</v>
      </c>
      <c r="G47" s="9" t="s">
        <v>35</v>
      </c>
      <c r="H47" s="16">
        <v>5</v>
      </c>
      <c r="I47" s="17">
        <v>65</v>
      </c>
      <c r="J47" s="18">
        <v>0</v>
      </c>
      <c r="K47" s="17">
        <v>325</v>
      </c>
      <c r="L47" s="17">
        <v>175</v>
      </c>
      <c r="M47" s="17">
        <v>150</v>
      </c>
      <c r="N47" s="18">
        <v>0.46150000000000002</v>
      </c>
    </row>
    <row r="48" spans="1:14" ht="14.5" x14ac:dyDescent="0.35">
      <c r="A48" s="9" t="s">
        <v>124</v>
      </c>
      <c r="B48" s="15">
        <v>45696</v>
      </c>
      <c r="C48" s="9" t="s">
        <v>125</v>
      </c>
      <c r="D48" s="9" t="s">
        <v>33</v>
      </c>
      <c r="E48" s="9" t="s">
        <v>34</v>
      </c>
      <c r="F48" s="9" t="s">
        <v>24</v>
      </c>
      <c r="G48" s="9" t="s">
        <v>46</v>
      </c>
      <c r="H48" s="16">
        <v>10</v>
      </c>
      <c r="I48" s="17">
        <v>320</v>
      </c>
      <c r="J48" s="18">
        <v>0.1</v>
      </c>
      <c r="K48" s="17">
        <v>2880</v>
      </c>
      <c r="L48" s="17">
        <v>1950</v>
      </c>
      <c r="M48" s="17">
        <v>930</v>
      </c>
      <c r="N48" s="18">
        <v>0.32290000000000002</v>
      </c>
    </row>
    <row r="49" spans="1:14" ht="14.5" x14ac:dyDescent="0.35">
      <c r="A49" s="9" t="s">
        <v>126</v>
      </c>
      <c r="B49" s="15">
        <v>45698</v>
      </c>
      <c r="C49" s="9" t="s">
        <v>127</v>
      </c>
      <c r="D49" s="9" t="s">
        <v>43</v>
      </c>
      <c r="E49" s="9" t="s">
        <v>23</v>
      </c>
      <c r="F49" s="9" t="s">
        <v>18</v>
      </c>
      <c r="G49" s="9" t="s">
        <v>49</v>
      </c>
      <c r="H49" s="16">
        <v>6</v>
      </c>
      <c r="I49" s="17">
        <v>75</v>
      </c>
      <c r="J49" s="18">
        <v>0.05</v>
      </c>
      <c r="K49" s="17">
        <v>427.5</v>
      </c>
      <c r="L49" s="17">
        <v>240</v>
      </c>
      <c r="M49" s="17">
        <v>187.5</v>
      </c>
      <c r="N49" s="18">
        <v>0.43859999999999999</v>
      </c>
    </row>
    <row r="50" spans="1:14" ht="14.5" x14ac:dyDescent="0.35">
      <c r="A50" s="9" t="s">
        <v>128</v>
      </c>
      <c r="B50" s="15">
        <v>45699</v>
      </c>
      <c r="C50" s="9" t="s">
        <v>129</v>
      </c>
      <c r="D50" s="9" t="s">
        <v>52</v>
      </c>
      <c r="E50" s="9" t="s">
        <v>23</v>
      </c>
      <c r="F50" s="9" t="s">
        <v>38</v>
      </c>
      <c r="G50" s="9" t="s">
        <v>53</v>
      </c>
      <c r="H50" s="16">
        <v>5</v>
      </c>
      <c r="I50" s="17">
        <v>35</v>
      </c>
      <c r="J50" s="18">
        <v>0.02</v>
      </c>
      <c r="K50" s="17">
        <v>171.5</v>
      </c>
      <c r="L50" s="17">
        <v>90</v>
      </c>
      <c r="M50" s="17">
        <v>81.5</v>
      </c>
      <c r="N50" s="18">
        <v>0.47520000000000001</v>
      </c>
    </row>
    <row r="51" spans="1:14" ht="14.5" x14ac:dyDescent="0.35">
      <c r="A51" s="9" t="s">
        <v>130</v>
      </c>
      <c r="B51" s="15">
        <v>45700</v>
      </c>
      <c r="C51" s="9" t="s">
        <v>131</v>
      </c>
      <c r="D51" s="9" t="s">
        <v>33</v>
      </c>
      <c r="E51" s="9" t="s">
        <v>34</v>
      </c>
      <c r="F51" s="9" t="s">
        <v>18</v>
      </c>
      <c r="G51" s="9" t="s">
        <v>19</v>
      </c>
      <c r="H51" s="16">
        <v>2</v>
      </c>
      <c r="I51" s="17">
        <v>320</v>
      </c>
      <c r="J51" s="18">
        <v>0</v>
      </c>
      <c r="K51" s="17">
        <v>640</v>
      </c>
      <c r="L51" s="17">
        <v>390</v>
      </c>
      <c r="M51" s="17">
        <v>250</v>
      </c>
      <c r="N51" s="18">
        <v>0.3906</v>
      </c>
    </row>
    <row r="52" spans="1:14" ht="14.5" x14ac:dyDescent="0.35">
      <c r="A52" s="9" t="s">
        <v>132</v>
      </c>
      <c r="B52" s="15">
        <v>45700</v>
      </c>
      <c r="C52" s="9" t="s">
        <v>133</v>
      </c>
      <c r="D52" s="9" t="s">
        <v>22</v>
      </c>
      <c r="E52" s="9" t="s">
        <v>23</v>
      </c>
      <c r="F52" s="9" t="s">
        <v>24</v>
      </c>
      <c r="G52" s="9" t="s">
        <v>35</v>
      </c>
      <c r="H52" s="16">
        <v>10</v>
      </c>
      <c r="I52" s="17">
        <v>65</v>
      </c>
      <c r="J52" s="18">
        <v>0</v>
      </c>
      <c r="K52" s="17">
        <v>650</v>
      </c>
      <c r="L52" s="17">
        <v>350</v>
      </c>
      <c r="M52" s="17">
        <v>300</v>
      </c>
      <c r="N52" s="18">
        <v>0.46150000000000002</v>
      </c>
    </row>
    <row r="53" spans="1:14" ht="14.5" x14ac:dyDescent="0.35">
      <c r="A53" s="9" t="s">
        <v>134</v>
      </c>
      <c r="B53" s="15">
        <v>45701</v>
      </c>
      <c r="C53" s="9" t="s">
        <v>135</v>
      </c>
      <c r="D53" s="9" t="s">
        <v>43</v>
      </c>
      <c r="E53" s="9" t="s">
        <v>23</v>
      </c>
      <c r="F53" s="9" t="s">
        <v>30</v>
      </c>
      <c r="G53" s="9" t="s">
        <v>49</v>
      </c>
      <c r="H53" s="16">
        <v>6</v>
      </c>
      <c r="I53" s="17">
        <v>75</v>
      </c>
      <c r="J53" s="18">
        <v>0.02</v>
      </c>
      <c r="K53" s="17">
        <v>441</v>
      </c>
      <c r="L53" s="17">
        <v>240</v>
      </c>
      <c r="M53" s="17">
        <v>201</v>
      </c>
      <c r="N53" s="18">
        <v>0.45579999999999998</v>
      </c>
    </row>
    <row r="54" spans="1:14" ht="14.5" x14ac:dyDescent="0.35">
      <c r="A54" s="9" t="s">
        <v>136</v>
      </c>
      <c r="B54" s="15">
        <v>45701</v>
      </c>
      <c r="C54" s="9" t="s">
        <v>137</v>
      </c>
      <c r="D54" s="9" t="s">
        <v>43</v>
      </c>
      <c r="E54" s="9" t="s">
        <v>23</v>
      </c>
      <c r="F54" s="9" t="s">
        <v>24</v>
      </c>
      <c r="G54" s="9" t="s">
        <v>49</v>
      </c>
      <c r="H54" s="16">
        <v>2</v>
      </c>
      <c r="I54" s="17">
        <v>75</v>
      </c>
      <c r="J54" s="18">
        <v>0.05</v>
      </c>
      <c r="K54" s="17">
        <v>142.5</v>
      </c>
      <c r="L54" s="17">
        <v>80</v>
      </c>
      <c r="M54" s="17">
        <v>62.5</v>
      </c>
      <c r="N54" s="18">
        <v>0.43859999999999999</v>
      </c>
    </row>
    <row r="55" spans="1:14" ht="14.5" x14ac:dyDescent="0.35">
      <c r="A55" s="9" t="s">
        <v>138</v>
      </c>
      <c r="B55" s="15">
        <v>45703</v>
      </c>
      <c r="C55" s="9" t="s">
        <v>139</v>
      </c>
      <c r="D55" s="9" t="s">
        <v>28</v>
      </c>
      <c r="E55" s="9" t="s">
        <v>29</v>
      </c>
      <c r="F55" s="9" t="s">
        <v>30</v>
      </c>
      <c r="G55" s="9" t="s">
        <v>46</v>
      </c>
      <c r="H55" s="16">
        <v>7</v>
      </c>
      <c r="I55" s="17">
        <v>850</v>
      </c>
      <c r="J55" s="18">
        <v>0.05</v>
      </c>
      <c r="K55" s="17">
        <v>5652.5</v>
      </c>
      <c r="L55" s="17">
        <v>3640</v>
      </c>
      <c r="M55" s="17">
        <v>2012.5</v>
      </c>
      <c r="N55" s="18">
        <v>0.35599999999999998</v>
      </c>
    </row>
    <row r="56" spans="1:14" ht="14.5" x14ac:dyDescent="0.35">
      <c r="A56" s="9" t="s">
        <v>140</v>
      </c>
      <c r="B56" s="15">
        <v>45704</v>
      </c>
      <c r="C56" s="9" t="s">
        <v>141</v>
      </c>
      <c r="D56" s="9" t="s">
        <v>142</v>
      </c>
      <c r="E56" s="9" t="s">
        <v>29</v>
      </c>
      <c r="F56" s="9" t="s">
        <v>24</v>
      </c>
      <c r="G56" s="9" t="s">
        <v>35</v>
      </c>
      <c r="H56" s="16">
        <v>1</v>
      </c>
      <c r="I56" s="17">
        <v>280</v>
      </c>
      <c r="J56" s="18">
        <v>0.1</v>
      </c>
      <c r="K56" s="17">
        <v>252</v>
      </c>
      <c r="L56" s="17">
        <v>170</v>
      </c>
      <c r="M56" s="17">
        <v>82</v>
      </c>
      <c r="N56" s="18">
        <v>0.32540000000000002</v>
      </c>
    </row>
    <row r="57" spans="1:14" ht="14.5" x14ac:dyDescent="0.35">
      <c r="A57" s="9" t="s">
        <v>143</v>
      </c>
      <c r="B57" s="15">
        <v>45704</v>
      </c>
      <c r="C57" s="9" t="s">
        <v>144</v>
      </c>
      <c r="D57" s="9" t="s">
        <v>60</v>
      </c>
      <c r="E57" s="9" t="s">
        <v>34</v>
      </c>
      <c r="F57" s="9" t="s">
        <v>30</v>
      </c>
      <c r="G57" s="9" t="s">
        <v>49</v>
      </c>
      <c r="H57" s="16">
        <v>7</v>
      </c>
      <c r="I57" s="17">
        <v>240</v>
      </c>
      <c r="J57" s="18">
        <v>0.05</v>
      </c>
      <c r="K57" s="17">
        <v>1596</v>
      </c>
      <c r="L57" s="17">
        <v>1015</v>
      </c>
      <c r="M57" s="17">
        <v>581</v>
      </c>
      <c r="N57" s="18">
        <v>0.36399999999999999</v>
      </c>
    </row>
    <row r="58" spans="1:14" ht="14.5" x14ac:dyDescent="0.35">
      <c r="A58" s="9" t="s">
        <v>145</v>
      </c>
      <c r="B58" s="15">
        <v>45704</v>
      </c>
      <c r="C58" s="9" t="s">
        <v>64</v>
      </c>
      <c r="D58" s="9" t="s">
        <v>22</v>
      </c>
      <c r="E58" s="9" t="s">
        <v>23</v>
      </c>
      <c r="F58" s="9" t="s">
        <v>24</v>
      </c>
      <c r="G58" s="9" t="s">
        <v>35</v>
      </c>
      <c r="H58" s="16">
        <v>1</v>
      </c>
      <c r="I58" s="17">
        <v>65</v>
      </c>
      <c r="J58" s="18">
        <v>0.02</v>
      </c>
      <c r="K58" s="17">
        <v>63.7</v>
      </c>
      <c r="L58" s="17">
        <v>35</v>
      </c>
      <c r="M58" s="17">
        <v>28.7</v>
      </c>
      <c r="N58" s="18">
        <v>0.45050000000000001</v>
      </c>
    </row>
    <row r="59" spans="1:14" ht="14.5" x14ac:dyDescent="0.35">
      <c r="A59" s="9" t="s">
        <v>146</v>
      </c>
      <c r="B59" s="15">
        <v>45705</v>
      </c>
      <c r="C59" s="9" t="s">
        <v>147</v>
      </c>
      <c r="D59" s="9" t="s">
        <v>33</v>
      </c>
      <c r="E59" s="9" t="s">
        <v>34</v>
      </c>
      <c r="F59" s="9" t="s">
        <v>24</v>
      </c>
      <c r="G59" s="9" t="s">
        <v>53</v>
      </c>
      <c r="H59" s="16">
        <v>6</v>
      </c>
      <c r="I59" s="17">
        <v>320</v>
      </c>
      <c r="J59" s="18">
        <v>0.05</v>
      </c>
      <c r="K59" s="17">
        <v>1824</v>
      </c>
      <c r="L59" s="17">
        <v>1170</v>
      </c>
      <c r="M59" s="17">
        <v>654</v>
      </c>
      <c r="N59" s="18">
        <v>0.35859999999999997</v>
      </c>
    </row>
    <row r="60" spans="1:14" ht="14.5" x14ac:dyDescent="0.35">
      <c r="A60" s="9" t="s">
        <v>148</v>
      </c>
      <c r="B60" s="15">
        <v>45708</v>
      </c>
      <c r="C60" s="9" t="s">
        <v>149</v>
      </c>
      <c r="D60" s="9" t="s">
        <v>33</v>
      </c>
      <c r="E60" s="9" t="s">
        <v>34</v>
      </c>
      <c r="F60" s="9" t="s">
        <v>24</v>
      </c>
      <c r="G60" s="9" t="s">
        <v>35</v>
      </c>
      <c r="H60" s="16">
        <v>5</v>
      </c>
      <c r="I60" s="17">
        <v>320</v>
      </c>
      <c r="J60" s="18">
        <v>0</v>
      </c>
      <c r="K60" s="17">
        <v>1600</v>
      </c>
      <c r="L60" s="17">
        <v>975</v>
      </c>
      <c r="M60" s="17">
        <v>625</v>
      </c>
      <c r="N60" s="18">
        <v>0.3906</v>
      </c>
    </row>
    <row r="61" spans="1:14" ht="14.5" x14ac:dyDescent="0.35">
      <c r="A61" s="9" t="s">
        <v>150</v>
      </c>
      <c r="B61" s="15">
        <v>45708</v>
      </c>
      <c r="C61" s="9" t="s">
        <v>151</v>
      </c>
      <c r="D61" s="9" t="s">
        <v>22</v>
      </c>
      <c r="E61" s="9" t="s">
        <v>23</v>
      </c>
      <c r="F61" s="9" t="s">
        <v>18</v>
      </c>
      <c r="G61" s="9" t="s">
        <v>49</v>
      </c>
      <c r="H61" s="16">
        <v>5</v>
      </c>
      <c r="I61" s="17">
        <v>65</v>
      </c>
      <c r="J61" s="18">
        <v>0.02</v>
      </c>
      <c r="K61" s="17">
        <v>318.5</v>
      </c>
      <c r="L61" s="17">
        <v>175</v>
      </c>
      <c r="M61" s="17">
        <v>143.5</v>
      </c>
      <c r="N61" s="18">
        <v>0.45050000000000001</v>
      </c>
    </row>
    <row r="62" spans="1:14" ht="14.5" x14ac:dyDescent="0.35">
      <c r="A62" s="9" t="s">
        <v>152</v>
      </c>
      <c r="B62" s="15">
        <v>45708</v>
      </c>
      <c r="C62" s="9" t="s">
        <v>153</v>
      </c>
      <c r="D62" s="9" t="s">
        <v>22</v>
      </c>
      <c r="E62" s="9" t="s">
        <v>23</v>
      </c>
      <c r="F62" s="9" t="s">
        <v>18</v>
      </c>
      <c r="G62" s="9" t="s">
        <v>19</v>
      </c>
      <c r="H62" s="16">
        <v>8</v>
      </c>
      <c r="I62" s="17">
        <v>65</v>
      </c>
      <c r="J62" s="18">
        <v>0.05</v>
      </c>
      <c r="K62" s="17">
        <v>494</v>
      </c>
      <c r="L62" s="17">
        <v>280</v>
      </c>
      <c r="M62" s="17">
        <v>214</v>
      </c>
      <c r="N62" s="18">
        <v>0.43319999999999997</v>
      </c>
    </row>
    <row r="63" spans="1:14" ht="14.5" x14ac:dyDescent="0.35">
      <c r="A63" s="9" t="s">
        <v>154</v>
      </c>
      <c r="B63" s="15">
        <v>45708</v>
      </c>
      <c r="C63" s="9" t="s">
        <v>155</v>
      </c>
      <c r="D63" s="9" t="s">
        <v>60</v>
      </c>
      <c r="E63" s="9" t="s">
        <v>34</v>
      </c>
      <c r="F63" s="9" t="s">
        <v>38</v>
      </c>
      <c r="G63" s="9" t="s">
        <v>53</v>
      </c>
      <c r="H63" s="16">
        <v>2</v>
      </c>
      <c r="I63" s="17">
        <v>240</v>
      </c>
      <c r="J63" s="18">
        <v>0</v>
      </c>
      <c r="K63" s="17">
        <v>480</v>
      </c>
      <c r="L63" s="17">
        <v>290</v>
      </c>
      <c r="M63" s="17">
        <v>190</v>
      </c>
      <c r="N63" s="18">
        <v>0.39579999999999999</v>
      </c>
    </row>
    <row r="64" spans="1:14" ht="14.5" x14ac:dyDescent="0.35">
      <c r="A64" s="9" t="s">
        <v>156</v>
      </c>
      <c r="B64" s="15">
        <v>45709</v>
      </c>
      <c r="C64" s="9" t="s">
        <v>157</v>
      </c>
      <c r="D64" s="9" t="s">
        <v>60</v>
      </c>
      <c r="E64" s="9" t="s">
        <v>34</v>
      </c>
      <c r="F64" s="9" t="s">
        <v>38</v>
      </c>
      <c r="G64" s="9" t="s">
        <v>46</v>
      </c>
      <c r="H64" s="16">
        <v>6</v>
      </c>
      <c r="I64" s="17">
        <v>240</v>
      </c>
      <c r="J64" s="18">
        <v>0.1</v>
      </c>
      <c r="K64" s="17">
        <v>1296</v>
      </c>
      <c r="L64" s="17">
        <v>870</v>
      </c>
      <c r="M64" s="17">
        <v>426</v>
      </c>
      <c r="N64" s="18">
        <v>0.32869999999999999</v>
      </c>
    </row>
    <row r="65" spans="1:14" ht="14.5" x14ac:dyDescent="0.35">
      <c r="A65" s="9" t="s">
        <v>158</v>
      </c>
      <c r="B65" s="15">
        <v>45710</v>
      </c>
      <c r="C65" s="9" t="s">
        <v>159</v>
      </c>
      <c r="D65" s="9" t="s">
        <v>52</v>
      </c>
      <c r="E65" s="9" t="s">
        <v>23</v>
      </c>
      <c r="F65" s="9" t="s">
        <v>24</v>
      </c>
      <c r="G65" s="9" t="s">
        <v>49</v>
      </c>
      <c r="H65" s="16">
        <v>7</v>
      </c>
      <c r="I65" s="17">
        <v>35</v>
      </c>
      <c r="J65" s="18">
        <v>0.02</v>
      </c>
      <c r="K65" s="17">
        <v>240.1</v>
      </c>
      <c r="L65" s="17">
        <v>126</v>
      </c>
      <c r="M65" s="17">
        <v>114.1</v>
      </c>
      <c r="N65" s="18">
        <v>0.47520000000000001</v>
      </c>
    </row>
    <row r="66" spans="1:14" ht="14.5" x14ac:dyDescent="0.35">
      <c r="A66" s="9" t="s">
        <v>160</v>
      </c>
      <c r="B66" s="15">
        <v>45710</v>
      </c>
      <c r="C66" s="9" t="s">
        <v>161</v>
      </c>
      <c r="D66" s="9" t="s">
        <v>52</v>
      </c>
      <c r="E66" s="9" t="s">
        <v>23</v>
      </c>
      <c r="F66" s="9" t="s">
        <v>30</v>
      </c>
      <c r="G66" s="9" t="s">
        <v>46</v>
      </c>
      <c r="H66" s="16">
        <v>7</v>
      </c>
      <c r="I66" s="17">
        <v>35</v>
      </c>
      <c r="J66" s="18">
        <v>0</v>
      </c>
      <c r="K66" s="17">
        <v>245</v>
      </c>
      <c r="L66" s="17">
        <v>126</v>
      </c>
      <c r="M66" s="17">
        <v>119</v>
      </c>
      <c r="N66" s="18">
        <v>0.48570000000000002</v>
      </c>
    </row>
    <row r="67" spans="1:14" ht="14.5" x14ac:dyDescent="0.35">
      <c r="A67" s="9" t="s">
        <v>162</v>
      </c>
      <c r="B67" s="15">
        <v>45710</v>
      </c>
      <c r="C67" s="9" t="s">
        <v>163</v>
      </c>
      <c r="D67" s="9" t="s">
        <v>22</v>
      </c>
      <c r="E67" s="9" t="s">
        <v>23</v>
      </c>
      <c r="F67" s="9" t="s">
        <v>30</v>
      </c>
      <c r="G67" s="9" t="s">
        <v>19</v>
      </c>
      <c r="H67" s="16">
        <v>5</v>
      </c>
      <c r="I67" s="17">
        <v>65</v>
      </c>
      <c r="J67" s="18">
        <v>0</v>
      </c>
      <c r="K67" s="17">
        <v>325</v>
      </c>
      <c r="L67" s="17">
        <v>175</v>
      </c>
      <c r="M67" s="17">
        <v>150</v>
      </c>
      <c r="N67" s="18">
        <v>0.46150000000000002</v>
      </c>
    </row>
    <row r="68" spans="1:14" ht="14.5" x14ac:dyDescent="0.35">
      <c r="A68" s="9" t="s">
        <v>164</v>
      </c>
      <c r="B68" s="15">
        <v>45710</v>
      </c>
      <c r="C68" s="9" t="s">
        <v>66</v>
      </c>
      <c r="D68" s="9" t="s">
        <v>60</v>
      </c>
      <c r="E68" s="9" t="s">
        <v>34</v>
      </c>
      <c r="F68" s="9" t="s">
        <v>30</v>
      </c>
      <c r="G68" s="9" t="s">
        <v>25</v>
      </c>
      <c r="H68" s="16">
        <v>9</v>
      </c>
      <c r="I68" s="17">
        <v>240</v>
      </c>
      <c r="J68" s="18">
        <v>0.02</v>
      </c>
      <c r="K68" s="17">
        <v>2116.8000000000002</v>
      </c>
      <c r="L68" s="17">
        <v>1305</v>
      </c>
      <c r="M68" s="17">
        <v>811.8</v>
      </c>
      <c r="N68" s="18">
        <v>0.38350000000000001</v>
      </c>
    </row>
    <row r="69" spans="1:14" ht="14.5" x14ac:dyDescent="0.35">
      <c r="A69" s="9" t="s">
        <v>165</v>
      </c>
      <c r="B69" s="15">
        <v>45711</v>
      </c>
      <c r="C69" s="9" t="s">
        <v>166</v>
      </c>
      <c r="D69" s="9" t="s">
        <v>142</v>
      </c>
      <c r="E69" s="9" t="s">
        <v>29</v>
      </c>
      <c r="F69" s="9" t="s">
        <v>24</v>
      </c>
      <c r="G69" s="9" t="s">
        <v>35</v>
      </c>
      <c r="H69" s="16">
        <v>10</v>
      </c>
      <c r="I69" s="17">
        <v>280</v>
      </c>
      <c r="J69" s="18">
        <v>0.1</v>
      </c>
      <c r="K69" s="17">
        <v>2520</v>
      </c>
      <c r="L69" s="17">
        <v>1700</v>
      </c>
      <c r="M69" s="17">
        <v>820</v>
      </c>
      <c r="N69" s="18">
        <v>0.32540000000000002</v>
      </c>
    </row>
    <row r="70" spans="1:14" ht="14.5" x14ac:dyDescent="0.35">
      <c r="A70" s="9" t="s">
        <v>167</v>
      </c>
      <c r="B70" s="15">
        <v>45711</v>
      </c>
      <c r="C70" s="9" t="s">
        <v>72</v>
      </c>
      <c r="D70" s="9" t="s">
        <v>28</v>
      </c>
      <c r="E70" s="9" t="s">
        <v>29</v>
      </c>
      <c r="F70" s="9" t="s">
        <v>30</v>
      </c>
      <c r="G70" s="9" t="s">
        <v>19</v>
      </c>
      <c r="H70" s="16">
        <v>8</v>
      </c>
      <c r="I70" s="17">
        <v>850</v>
      </c>
      <c r="J70" s="18">
        <v>0</v>
      </c>
      <c r="K70" s="17">
        <v>6800</v>
      </c>
      <c r="L70" s="17">
        <v>4160</v>
      </c>
      <c r="M70" s="17">
        <v>2640</v>
      </c>
      <c r="N70" s="18">
        <v>0.38819999999999999</v>
      </c>
    </row>
    <row r="71" spans="1:14" ht="14.5" x14ac:dyDescent="0.35">
      <c r="A71" s="9" t="s">
        <v>168</v>
      </c>
      <c r="B71" s="15">
        <v>45711</v>
      </c>
      <c r="C71" s="9" t="s">
        <v>169</v>
      </c>
      <c r="D71" s="9" t="s">
        <v>52</v>
      </c>
      <c r="E71" s="9" t="s">
        <v>23</v>
      </c>
      <c r="F71" s="9" t="s">
        <v>24</v>
      </c>
      <c r="G71" s="9" t="s">
        <v>46</v>
      </c>
      <c r="H71" s="16">
        <v>9</v>
      </c>
      <c r="I71" s="17">
        <v>35</v>
      </c>
      <c r="J71" s="18">
        <v>0</v>
      </c>
      <c r="K71" s="17">
        <v>315</v>
      </c>
      <c r="L71" s="17">
        <v>162</v>
      </c>
      <c r="M71" s="17">
        <v>153</v>
      </c>
      <c r="N71" s="18">
        <v>0.48570000000000002</v>
      </c>
    </row>
    <row r="72" spans="1:14" ht="14.5" x14ac:dyDescent="0.35">
      <c r="A72" s="9" t="s">
        <v>170</v>
      </c>
      <c r="B72" s="15">
        <v>45711</v>
      </c>
      <c r="C72" s="9" t="s">
        <v>171</v>
      </c>
      <c r="D72" s="9" t="s">
        <v>52</v>
      </c>
      <c r="E72" s="9" t="s">
        <v>23</v>
      </c>
      <c r="F72" s="9" t="s">
        <v>38</v>
      </c>
      <c r="G72" s="9" t="s">
        <v>25</v>
      </c>
      <c r="H72" s="16">
        <v>7</v>
      </c>
      <c r="I72" s="17">
        <v>35</v>
      </c>
      <c r="J72" s="18">
        <v>0.02</v>
      </c>
      <c r="K72" s="17">
        <v>240.1</v>
      </c>
      <c r="L72" s="17">
        <v>126</v>
      </c>
      <c r="M72" s="17">
        <v>114.1</v>
      </c>
      <c r="N72" s="18">
        <v>0.47520000000000001</v>
      </c>
    </row>
    <row r="73" spans="1:14" ht="14.5" x14ac:dyDescent="0.35">
      <c r="A73" s="9" t="s">
        <v>172</v>
      </c>
      <c r="B73" s="15">
        <v>45714</v>
      </c>
      <c r="C73" s="9" t="s">
        <v>173</v>
      </c>
      <c r="D73" s="9" t="s">
        <v>22</v>
      </c>
      <c r="E73" s="9" t="s">
        <v>23</v>
      </c>
      <c r="F73" s="9" t="s">
        <v>18</v>
      </c>
      <c r="G73" s="9" t="s">
        <v>53</v>
      </c>
      <c r="H73" s="16">
        <v>9</v>
      </c>
      <c r="I73" s="17">
        <v>65</v>
      </c>
      <c r="J73" s="18">
        <v>0.02</v>
      </c>
      <c r="K73" s="17">
        <v>573.29999999999995</v>
      </c>
      <c r="L73" s="17">
        <v>315</v>
      </c>
      <c r="M73" s="17">
        <v>258.3</v>
      </c>
      <c r="N73" s="18">
        <v>0.45050000000000001</v>
      </c>
    </row>
    <row r="74" spans="1:14" ht="14.5" x14ac:dyDescent="0.35">
      <c r="A74" s="9" t="s">
        <v>174</v>
      </c>
      <c r="B74" s="15">
        <v>45715</v>
      </c>
      <c r="C74" s="9" t="s">
        <v>72</v>
      </c>
      <c r="D74" s="9" t="s">
        <v>22</v>
      </c>
      <c r="E74" s="9" t="s">
        <v>23</v>
      </c>
      <c r="F74" s="9" t="s">
        <v>30</v>
      </c>
      <c r="G74" s="9" t="s">
        <v>53</v>
      </c>
      <c r="H74" s="16">
        <v>6</v>
      </c>
      <c r="I74" s="17">
        <v>65</v>
      </c>
      <c r="J74" s="18">
        <v>0</v>
      </c>
      <c r="K74" s="17">
        <v>390</v>
      </c>
      <c r="L74" s="17">
        <v>210</v>
      </c>
      <c r="M74" s="17">
        <v>180</v>
      </c>
      <c r="N74" s="18">
        <v>0.46150000000000002</v>
      </c>
    </row>
    <row r="75" spans="1:14" ht="14.5" x14ac:dyDescent="0.35">
      <c r="A75" s="9" t="s">
        <v>175</v>
      </c>
      <c r="B75" s="15">
        <v>45715</v>
      </c>
      <c r="C75" s="9" t="s">
        <v>59</v>
      </c>
      <c r="D75" s="9" t="s">
        <v>43</v>
      </c>
      <c r="E75" s="9" t="s">
        <v>23</v>
      </c>
      <c r="F75" s="9" t="s">
        <v>18</v>
      </c>
      <c r="G75" s="9" t="s">
        <v>46</v>
      </c>
      <c r="H75" s="16">
        <v>9</v>
      </c>
      <c r="I75" s="17">
        <v>75</v>
      </c>
      <c r="J75" s="18">
        <v>0</v>
      </c>
      <c r="K75" s="17">
        <v>675</v>
      </c>
      <c r="L75" s="17">
        <v>360</v>
      </c>
      <c r="M75" s="17">
        <v>315</v>
      </c>
      <c r="N75" s="18">
        <v>0.4667</v>
      </c>
    </row>
    <row r="76" spans="1:14" ht="14.5" x14ac:dyDescent="0.35">
      <c r="A76" s="9" t="s">
        <v>176</v>
      </c>
      <c r="B76" s="15">
        <v>45715</v>
      </c>
      <c r="C76" s="9" t="s">
        <v>177</v>
      </c>
      <c r="D76" s="9" t="s">
        <v>43</v>
      </c>
      <c r="E76" s="9" t="s">
        <v>23</v>
      </c>
      <c r="F76" s="9" t="s">
        <v>24</v>
      </c>
      <c r="G76" s="9" t="s">
        <v>35</v>
      </c>
      <c r="H76" s="16">
        <v>5</v>
      </c>
      <c r="I76" s="17">
        <v>75</v>
      </c>
      <c r="J76" s="18">
        <v>0</v>
      </c>
      <c r="K76" s="17">
        <v>375</v>
      </c>
      <c r="L76" s="17">
        <v>200</v>
      </c>
      <c r="M76" s="17">
        <v>175</v>
      </c>
      <c r="N76" s="18">
        <v>0.4667</v>
      </c>
    </row>
    <row r="77" spans="1:14" ht="14.5" x14ac:dyDescent="0.35">
      <c r="A77" s="9" t="s">
        <v>178</v>
      </c>
      <c r="B77" s="15">
        <v>45715</v>
      </c>
      <c r="C77" s="9" t="s">
        <v>179</v>
      </c>
      <c r="D77" s="9" t="s">
        <v>33</v>
      </c>
      <c r="E77" s="9" t="s">
        <v>34</v>
      </c>
      <c r="F77" s="9" t="s">
        <v>24</v>
      </c>
      <c r="G77" s="9" t="s">
        <v>53</v>
      </c>
      <c r="H77" s="16">
        <v>8</v>
      </c>
      <c r="I77" s="17">
        <v>320</v>
      </c>
      <c r="J77" s="18">
        <v>0.02</v>
      </c>
      <c r="K77" s="17">
        <v>2508.8000000000002</v>
      </c>
      <c r="L77" s="17">
        <v>1560</v>
      </c>
      <c r="M77" s="17">
        <v>948.8</v>
      </c>
      <c r="N77" s="18">
        <v>0.37819999999999998</v>
      </c>
    </row>
    <row r="78" spans="1:14" ht="14.5" x14ac:dyDescent="0.35">
      <c r="A78" s="9" t="s">
        <v>180</v>
      </c>
      <c r="B78" s="15">
        <v>45715</v>
      </c>
      <c r="C78" s="9" t="s">
        <v>181</v>
      </c>
      <c r="D78" s="9" t="s">
        <v>60</v>
      </c>
      <c r="E78" s="9" t="s">
        <v>34</v>
      </c>
      <c r="F78" s="9" t="s">
        <v>18</v>
      </c>
      <c r="G78" s="9" t="s">
        <v>19</v>
      </c>
      <c r="H78" s="16">
        <v>7</v>
      </c>
      <c r="I78" s="17">
        <v>240</v>
      </c>
      <c r="J78" s="18">
        <v>0.05</v>
      </c>
      <c r="K78" s="17">
        <v>1596</v>
      </c>
      <c r="L78" s="17">
        <v>1015</v>
      </c>
      <c r="M78" s="17">
        <v>581</v>
      </c>
      <c r="N78" s="18">
        <v>0.36399999999999999</v>
      </c>
    </row>
    <row r="79" spans="1:14" ht="14.5" x14ac:dyDescent="0.35">
      <c r="A79" s="9" t="s">
        <v>182</v>
      </c>
      <c r="B79" s="15">
        <v>45715</v>
      </c>
      <c r="C79" s="9" t="s">
        <v>183</v>
      </c>
      <c r="D79" s="9" t="s">
        <v>33</v>
      </c>
      <c r="E79" s="9" t="s">
        <v>34</v>
      </c>
      <c r="F79" s="9" t="s">
        <v>38</v>
      </c>
      <c r="G79" s="9" t="s">
        <v>53</v>
      </c>
      <c r="H79" s="16">
        <v>8</v>
      </c>
      <c r="I79" s="17">
        <v>320</v>
      </c>
      <c r="J79" s="18">
        <v>0.05</v>
      </c>
      <c r="K79" s="17">
        <v>2432</v>
      </c>
      <c r="L79" s="17">
        <v>1560</v>
      </c>
      <c r="M79" s="17">
        <v>872</v>
      </c>
      <c r="N79" s="18">
        <v>0.35859999999999997</v>
      </c>
    </row>
    <row r="80" spans="1:14" ht="14.5" x14ac:dyDescent="0.35">
      <c r="A80" s="9" t="s">
        <v>184</v>
      </c>
      <c r="B80" s="15">
        <v>45717</v>
      </c>
      <c r="C80" s="9" t="s">
        <v>123</v>
      </c>
      <c r="D80" s="9" t="s">
        <v>28</v>
      </c>
      <c r="E80" s="9" t="s">
        <v>29</v>
      </c>
      <c r="F80" s="9" t="s">
        <v>18</v>
      </c>
      <c r="G80" s="9" t="s">
        <v>25</v>
      </c>
      <c r="H80" s="16">
        <v>3</v>
      </c>
      <c r="I80" s="17">
        <v>850</v>
      </c>
      <c r="J80" s="18">
        <v>0.02</v>
      </c>
      <c r="K80" s="17">
        <v>2499</v>
      </c>
      <c r="L80" s="17">
        <v>1560</v>
      </c>
      <c r="M80" s="17">
        <v>939</v>
      </c>
      <c r="N80" s="18">
        <v>0.37580000000000002</v>
      </c>
    </row>
    <row r="81" spans="1:14" ht="14.5" x14ac:dyDescent="0.35">
      <c r="A81" s="9" t="s">
        <v>185</v>
      </c>
      <c r="B81" s="15">
        <v>45718</v>
      </c>
      <c r="C81" s="9" t="s">
        <v>51</v>
      </c>
      <c r="D81" s="9" t="s">
        <v>28</v>
      </c>
      <c r="E81" s="9" t="s">
        <v>29</v>
      </c>
      <c r="F81" s="9" t="s">
        <v>18</v>
      </c>
      <c r="G81" s="9" t="s">
        <v>46</v>
      </c>
      <c r="H81" s="16">
        <v>9</v>
      </c>
      <c r="I81" s="17">
        <v>850</v>
      </c>
      <c r="J81" s="18">
        <v>0.05</v>
      </c>
      <c r="K81" s="17">
        <v>7267.5</v>
      </c>
      <c r="L81" s="17">
        <v>4680</v>
      </c>
      <c r="M81" s="17">
        <v>2587.5</v>
      </c>
      <c r="N81" s="18">
        <v>0.35599999999999998</v>
      </c>
    </row>
    <row r="82" spans="1:14" ht="14.5" x14ac:dyDescent="0.35">
      <c r="A82" s="9" t="s">
        <v>186</v>
      </c>
      <c r="B82" s="15">
        <v>45719</v>
      </c>
      <c r="C82" s="9" t="s">
        <v>187</v>
      </c>
      <c r="D82" s="9" t="s">
        <v>60</v>
      </c>
      <c r="E82" s="9" t="s">
        <v>34</v>
      </c>
      <c r="F82" s="9" t="s">
        <v>30</v>
      </c>
      <c r="G82" s="9" t="s">
        <v>35</v>
      </c>
      <c r="H82" s="16">
        <v>5</v>
      </c>
      <c r="I82" s="17">
        <v>240</v>
      </c>
      <c r="J82" s="18">
        <v>0.02</v>
      </c>
      <c r="K82" s="17">
        <v>1176</v>
      </c>
      <c r="L82" s="17">
        <v>725</v>
      </c>
      <c r="M82" s="17">
        <v>451</v>
      </c>
      <c r="N82" s="18">
        <v>0.38350000000000001</v>
      </c>
    </row>
    <row r="83" spans="1:14" ht="14.5" x14ac:dyDescent="0.35">
      <c r="A83" s="9" t="s">
        <v>188</v>
      </c>
      <c r="B83" s="15">
        <v>45720</v>
      </c>
      <c r="C83" s="9" t="s">
        <v>135</v>
      </c>
      <c r="D83" s="9" t="s">
        <v>33</v>
      </c>
      <c r="E83" s="9" t="s">
        <v>34</v>
      </c>
      <c r="F83" s="9" t="s">
        <v>24</v>
      </c>
      <c r="G83" s="9" t="s">
        <v>46</v>
      </c>
      <c r="H83" s="16">
        <v>10</v>
      </c>
      <c r="I83" s="17">
        <v>320</v>
      </c>
      <c r="J83" s="18">
        <v>0.05</v>
      </c>
      <c r="K83" s="17">
        <v>3040</v>
      </c>
      <c r="L83" s="17">
        <v>1950</v>
      </c>
      <c r="M83" s="17">
        <v>1090</v>
      </c>
      <c r="N83" s="18">
        <v>0.35859999999999997</v>
      </c>
    </row>
    <row r="84" spans="1:14" ht="14.5" x14ac:dyDescent="0.35">
      <c r="A84" s="9" t="s">
        <v>189</v>
      </c>
      <c r="B84" s="15">
        <v>45720</v>
      </c>
      <c r="C84" s="9" t="s">
        <v>190</v>
      </c>
      <c r="D84" s="9" t="s">
        <v>43</v>
      </c>
      <c r="E84" s="9" t="s">
        <v>23</v>
      </c>
      <c r="F84" s="9" t="s">
        <v>38</v>
      </c>
      <c r="G84" s="9" t="s">
        <v>35</v>
      </c>
      <c r="H84" s="16">
        <v>9</v>
      </c>
      <c r="I84" s="17">
        <v>75</v>
      </c>
      <c r="J84" s="18">
        <v>0.05</v>
      </c>
      <c r="K84" s="17">
        <v>641.25</v>
      </c>
      <c r="L84" s="17">
        <v>360</v>
      </c>
      <c r="M84" s="17">
        <v>281.25</v>
      </c>
      <c r="N84" s="18">
        <v>0.43859999999999999</v>
      </c>
    </row>
    <row r="85" spans="1:14" ht="14.5" x14ac:dyDescent="0.35">
      <c r="A85" s="9" t="s">
        <v>191</v>
      </c>
      <c r="B85" s="15">
        <v>45722</v>
      </c>
      <c r="C85" s="9" t="s">
        <v>192</v>
      </c>
      <c r="D85" s="9" t="s">
        <v>43</v>
      </c>
      <c r="E85" s="9" t="s">
        <v>23</v>
      </c>
      <c r="F85" s="9" t="s">
        <v>18</v>
      </c>
      <c r="G85" s="9" t="s">
        <v>25</v>
      </c>
      <c r="H85" s="16">
        <v>5</v>
      </c>
      <c r="I85" s="17">
        <v>75</v>
      </c>
      <c r="J85" s="18">
        <v>0.05</v>
      </c>
      <c r="K85" s="17">
        <v>356.25</v>
      </c>
      <c r="L85" s="17">
        <v>200</v>
      </c>
      <c r="M85" s="17">
        <v>156.25</v>
      </c>
      <c r="N85" s="18">
        <v>0.43859999999999999</v>
      </c>
    </row>
    <row r="86" spans="1:14" ht="14.5" x14ac:dyDescent="0.35">
      <c r="A86" s="9" t="s">
        <v>193</v>
      </c>
      <c r="B86" s="15">
        <v>45722</v>
      </c>
      <c r="C86" s="9" t="s">
        <v>194</v>
      </c>
      <c r="D86" s="9" t="s">
        <v>28</v>
      </c>
      <c r="E86" s="9" t="s">
        <v>29</v>
      </c>
      <c r="F86" s="9" t="s">
        <v>30</v>
      </c>
      <c r="G86" s="9" t="s">
        <v>19</v>
      </c>
      <c r="H86" s="16">
        <v>1</v>
      </c>
      <c r="I86" s="17">
        <v>850</v>
      </c>
      <c r="J86" s="18">
        <v>0.15</v>
      </c>
      <c r="K86" s="17">
        <v>722.5</v>
      </c>
      <c r="L86" s="17">
        <v>520</v>
      </c>
      <c r="M86" s="17">
        <v>202.5</v>
      </c>
      <c r="N86" s="18">
        <v>0.28029999999999999</v>
      </c>
    </row>
    <row r="87" spans="1:14" ht="14.5" x14ac:dyDescent="0.35">
      <c r="A87" s="9" t="s">
        <v>195</v>
      </c>
      <c r="B87" s="15">
        <v>45723</v>
      </c>
      <c r="C87" s="9" t="s">
        <v>196</v>
      </c>
      <c r="D87" s="9" t="s">
        <v>16</v>
      </c>
      <c r="E87" s="9" t="s">
        <v>17</v>
      </c>
      <c r="F87" s="9" t="s">
        <v>24</v>
      </c>
      <c r="G87" s="9" t="s">
        <v>19</v>
      </c>
      <c r="H87" s="16">
        <v>4</v>
      </c>
      <c r="I87" s="17">
        <v>210</v>
      </c>
      <c r="J87" s="18">
        <v>0.05</v>
      </c>
      <c r="K87" s="17">
        <v>798</v>
      </c>
      <c r="L87" s="17">
        <v>500</v>
      </c>
      <c r="M87" s="17">
        <v>298</v>
      </c>
      <c r="N87" s="18">
        <v>0.37340000000000001</v>
      </c>
    </row>
    <row r="88" spans="1:14" ht="14.5" x14ac:dyDescent="0.35">
      <c r="A88" s="9" t="s">
        <v>197</v>
      </c>
      <c r="B88" s="15">
        <v>45726</v>
      </c>
      <c r="C88" s="9" t="s">
        <v>64</v>
      </c>
      <c r="D88" s="9" t="s">
        <v>43</v>
      </c>
      <c r="E88" s="9" t="s">
        <v>23</v>
      </c>
      <c r="F88" s="9" t="s">
        <v>38</v>
      </c>
      <c r="G88" s="9" t="s">
        <v>49</v>
      </c>
      <c r="H88" s="16">
        <v>1</v>
      </c>
      <c r="I88" s="17">
        <v>75</v>
      </c>
      <c r="J88" s="18">
        <v>0.1</v>
      </c>
      <c r="K88" s="17">
        <v>67.5</v>
      </c>
      <c r="L88" s="17">
        <v>40</v>
      </c>
      <c r="M88" s="17">
        <v>27.5</v>
      </c>
      <c r="N88" s="18">
        <v>0.40739999999999998</v>
      </c>
    </row>
    <row r="89" spans="1:14" ht="14.5" x14ac:dyDescent="0.35">
      <c r="A89" s="9" t="s">
        <v>198</v>
      </c>
      <c r="B89" s="15">
        <v>45726</v>
      </c>
      <c r="C89" s="9" t="s">
        <v>82</v>
      </c>
      <c r="D89" s="9" t="s">
        <v>16</v>
      </c>
      <c r="E89" s="9" t="s">
        <v>17</v>
      </c>
      <c r="F89" s="9" t="s">
        <v>24</v>
      </c>
      <c r="G89" s="9" t="s">
        <v>35</v>
      </c>
      <c r="H89" s="16">
        <v>6</v>
      </c>
      <c r="I89" s="17">
        <v>210</v>
      </c>
      <c r="J89" s="18">
        <v>0.02</v>
      </c>
      <c r="K89" s="17">
        <v>1234.8</v>
      </c>
      <c r="L89" s="17">
        <v>750</v>
      </c>
      <c r="M89" s="17">
        <v>484.8</v>
      </c>
      <c r="N89" s="18">
        <v>0.3926</v>
      </c>
    </row>
    <row r="90" spans="1:14" ht="14.5" x14ac:dyDescent="0.35">
      <c r="A90" s="9" t="s">
        <v>199</v>
      </c>
      <c r="B90" s="15">
        <v>45726</v>
      </c>
      <c r="C90" s="9" t="s">
        <v>200</v>
      </c>
      <c r="D90" s="9" t="s">
        <v>52</v>
      </c>
      <c r="E90" s="9" t="s">
        <v>23</v>
      </c>
      <c r="F90" s="9" t="s">
        <v>30</v>
      </c>
      <c r="G90" s="9" t="s">
        <v>53</v>
      </c>
      <c r="H90" s="16">
        <v>9</v>
      </c>
      <c r="I90" s="17">
        <v>35</v>
      </c>
      <c r="J90" s="18">
        <v>0.05</v>
      </c>
      <c r="K90" s="17">
        <v>299.25</v>
      </c>
      <c r="L90" s="17">
        <v>162</v>
      </c>
      <c r="M90" s="17">
        <v>137.25</v>
      </c>
      <c r="N90" s="18">
        <v>0.45860000000000001</v>
      </c>
    </row>
    <row r="91" spans="1:14" ht="14.5" x14ac:dyDescent="0.35">
      <c r="A91" s="9" t="s">
        <v>201</v>
      </c>
      <c r="B91" s="15">
        <v>45726</v>
      </c>
      <c r="C91" s="9" t="s">
        <v>202</v>
      </c>
      <c r="D91" s="9" t="s">
        <v>28</v>
      </c>
      <c r="E91" s="9" t="s">
        <v>29</v>
      </c>
      <c r="F91" s="9" t="s">
        <v>38</v>
      </c>
      <c r="G91" s="9" t="s">
        <v>35</v>
      </c>
      <c r="H91" s="16">
        <v>4</v>
      </c>
      <c r="I91" s="17">
        <v>850</v>
      </c>
      <c r="J91" s="18">
        <v>0</v>
      </c>
      <c r="K91" s="17">
        <v>3400</v>
      </c>
      <c r="L91" s="17">
        <v>2080</v>
      </c>
      <c r="M91" s="17">
        <v>1320</v>
      </c>
      <c r="N91" s="18">
        <v>0.38819999999999999</v>
      </c>
    </row>
    <row r="92" spans="1:14" ht="14.5" x14ac:dyDescent="0.35">
      <c r="A92" s="9" t="s">
        <v>203</v>
      </c>
      <c r="B92" s="15">
        <v>45727</v>
      </c>
      <c r="C92" s="9" t="s">
        <v>149</v>
      </c>
      <c r="D92" s="9" t="s">
        <v>52</v>
      </c>
      <c r="E92" s="9" t="s">
        <v>23</v>
      </c>
      <c r="F92" s="9" t="s">
        <v>18</v>
      </c>
      <c r="G92" s="9" t="s">
        <v>53</v>
      </c>
      <c r="H92" s="16">
        <v>3</v>
      </c>
      <c r="I92" s="17">
        <v>35</v>
      </c>
      <c r="J92" s="18">
        <v>0.05</v>
      </c>
      <c r="K92" s="17">
        <v>99.75</v>
      </c>
      <c r="L92" s="17">
        <v>54</v>
      </c>
      <c r="M92" s="17">
        <v>45.75</v>
      </c>
      <c r="N92" s="18">
        <v>0.45860000000000001</v>
      </c>
    </row>
    <row r="93" spans="1:14" ht="14.5" x14ac:dyDescent="0.35">
      <c r="A93" s="9" t="s">
        <v>204</v>
      </c>
      <c r="B93" s="15">
        <v>45729</v>
      </c>
      <c r="C93" s="9" t="s">
        <v>205</v>
      </c>
      <c r="D93" s="9" t="s">
        <v>43</v>
      </c>
      <c r="E93" s="9" t="s">
        <v>23</v>
      </c>
      <c r="F93" s="9" t="s">
        <v>38</v>
      </c>
      <c r="G93" s="9" t="s">
        <v>49</v>
      </c>
      <c r="H93" s="16">
        <v>8</v>
      </c>
      <c r="I93" s="17">
        <v>75</v>
      </c>
      <c r="J93" s="18">
        <v>0.02</v>
      </c>
      <c r="K93" s="17">
        <v>588</v>
      </c>
      <c r="L93" s="17">
        <v>320</v>
      </c>
      <c r="M93" s="17">
        <v>268</v>
      </c>
      <c r="N93" s="18">
        <v>0.45579999999999998</v>
      </c>
    </row>
    <row r="94" spans="1:14" ht="14.5" x14ac:dyDescent="0.35">
      <c r="A94" s="9" t="s">
        <v>206</v>
      </c>
      <c r="B94" s="15">
        <v>45731</v>
      </c>
      <c r="C94" s="9" t="s">
        <v>207</v>
      </c>
      <c r="D94" s="9" t="s">
        <v>16</v>
      </c>
      <c r="E94" s="9" t="s">
        <v>17</v>
      </c>
      <c r="F94" s="9" t="s">
        <v>30</v>
      </c>
      <c r="G94" s="9" t="s">
        <v>19</v>
      </c>
      <c r="H94" s="16">
        <v>5</v>
      </c>
      <c r="I94" s="17">
        <v>210</v>
      </c>
      <c r="J94" s="18">
        <v>0</v>
      </c>
      <c r="K94" s="17">
        <v>1050</v>
      </c>
      <c r="L94" s="17">
        <v>625</v>
      </c>
      <c r="M94" s="17">
        <v>425</v>
      </c>
      <c r="N94" s="18">
        <v>0.40479999999999999</v>
      </c>
    </row>
    <row r="95" spans="1:14" ht="14.5" x14ac:dyDescent="0.35">
      <c r="A95" s="9" t="s">
        <v>208</v>
      </c>
      <c r="B95" s="15">
        <v>45732</v>
      </c>
      <c r="C95" s="9" t="s">
        <v>209</v>
      </c>
      <c r="D95" s="9" t="s">
        <v>33</v>
      </c>
      <c r="E95" s="9" t="s">
        <v>34</v>
      </c>
      <c r="F95" s="9" t="s">
        <v>30</v>
      </c>
      <c r="G95" s="9" t="s">
        <v>19</v>
      </c>
      <c r="H95" s="16">
        <v>5</v>
      </c>
      <c r="I95" s="17">
        <v>320</v>
      </c>
      <c r="J95" s="18">
        <v>0.1</v>
      </c>
      <c r="K95" s="17">
        <v>1440</v>
      </c>
      <c r="L95" s="17">
        <v>975</v>
      </c>
      <c r="M95" s="17">
        <v>465</v>
      </c>
      <c r="N95" s="18">
        <v>0.32290000000000002</v>
      </c>
    </row>
    <row r="96" spans="1:14" ht="14.5" x14ac:dyDescent="0.35">
      <c r="A96" s="9" t="s">
        <v>210</v>
      </c>
      <c r="B96" s="15">
        <v>45732</v>
      </c>
      <c r="C96" s="9" t="s">
        <v>211</v>
      </c>
      <c r="D96" s="9" t="s">
        <v>22</v>
      </c>
      <c r="E96" s="9" t="s">
        <v>23</v>
      </c>
      <c r="F96" s="9" t="s">
        <v>30</v>
      </c>
      <c r="G96" s="9" t="s">
        <v>35</v>
      </c>
      <c r="H96" s="16">
        <v>6</v>
      </c>
      <c r="I96" s="17">
        <v>65</v>
      </c>
      <c r="J96" s="18">
        <v>0.05</v>
      </c>
      <c r="K96" s="17">
        <v>370.5</v>
      </c>
      <c r="L96" s="17">
        <v>210</v>
      </c>
      <c r="M96" s="17">
        <v>160.5</v>
      </c>
      <c r="N96" s="18">
        <v>0.43319999999999997</v>
      </c>
    </row>
    <row r="97" spans="1:14" ht="14.5" x14ac:dyDescent="0.35">
      <c r="A97" s="9" t="s">
        <v>212</v>
      </c>
      <c r="B97" s="15">
        <v>45733</v>
      </c>
      <c r="C97" s="9" t="s">
        <v>213</v>
      </c>
      <c r="D97" s="9" t="s">
        <v>28</v>
      </c>
      <c r="E97" s="9" t="s">
        <v>29</v>
      </c>
      <c r="F97" s="9" t="s">
        <v>18</v>
      </c>
      <c r="G97" s="9" t="s">
        <v>25</v>
      </c>
      <c r="H97" s="16">
        <v>9</v>
      </c>
      <c r="I97" s="17">
        <v>850</v>
      </c>
      <c r="J97" s="18">
        <v>0.1</v>
      </c>
      <c r="K97" s="17">
        <v>6885</v>
      </c>
      <c r="L97" s="17">
        <v>4680</v>
      </c>
      <c r="M97" s="17">
        <v>2205</v>
      </c>
      <c r="N97" s="18">
        <v>0.32029999999999997</v>
      </c>
    </row>
    <row r="98" spans="1:14" ht="14.5" x14ac:dyDescent="0.35">
      <c r="A98" s="9" t="s">
        <v>214</v>
      </c>
      <c r="B98" s="15">
        <v>45733</v>
      </c>
      <c r="C98" s="9" t="s">
        <v>215</v>
      </c>
      <c r="D98" s="9" t="s">
        <v>142</v>
      </c>
      <c r="E98" s="9" t="s">
        <v>29</v>
      </c>
      <c r="F98" s="9" t="s">
        <v>18</v>
      </c>
      <c r="G98" s="9" t="s">
        <v>53</v>
      </c>
      <c r="H98" s="16">
        <v>7</v>
      </c>
      <c r="I98" s="17">
        <v>280</v>
      </c>
      <c r="J98" s="18">
        <v>0</v>
      </c>
      <c r="K98" s="17">
        <v>1960</v>
      </c>
      <c r="L98" s="17">
        <v>1190</v>
      </c>
      <c r="M98" s="17">
        <v>770</v>
      </c>
      <c r="N98" s="18">
        <v>0.39290000000000003</v>
      </c>
    </row>
    <row r="99" spans="1:14" ht="14.5" x14ac:dyDescent="0.35">
      <c r="A99" s="9" t="s">
        <v>216</v>
      </c>
      <c r="B99" s="15">
        <v>45733</v>
      </c>
      <c r="C99" s="9" t="s">
        <v>217</v>
      </c>
      <c r="D99" s="9" t="s">
        <v>28</v>
      </c>
      <c r="E99" s="9" t="s">
        <v>29</v>
      </c>
      <c r="F99" s="9" t="s">
        <v>18</v>
      </c>
      <c r="G99" s="9" t="s">
        <v>19</v>
      </c>
      <c r="H99" s="16">
        <v>9</v>
      </c>
      <c r="I99" s="17">
        <v>850</v>
      </c>
      <c r="J99" s="18">
        <v>0.05</v>
      </c>
      <c r="K99" s="17">
        <v>7267.5</v>
      </c>
      <c r="L99" s="17">
        <v>4680</v>
      </c>
      <c r="M99" s="17">
        <v>2587.5</v>
      </c>
      <c r="N99" s="18">
        <v>0.35599999999999998</v>
      </c>
    </row>
    <row r="100" spans="1:14" ht="14.5" x14ac:dyDescent="0.35">
      <c r="A100" s="9" t="s">
        <v>218</v>
      </c>
      <c r="B100" s="15">
        <v>45735</v>
      </c>
      <c r="C100" s="9" t="s">
        <v>135</v>
      </c>
      <c r="D100" s="9" t="s">
        <v>52</v>
      </c>
      <c r="E100" s="9" t="s">
        <v>23</v>
      </c>
      <c r="F100" s="9" t="s">
        <v>30</v>
      </c>
      <c r="G100" s="9" t="s">
        <v>53</v>
      </c>
      <c r="H100" s="16">
        <v>3</v>
      </c>
      <c r="I100" s="17">
        <v>35</v>
      </c>
      <c r="J100" s="18">
        <v>0.02</v>
      </c>
      <c r="K100" s="17">
        <v>102.9</v>
      </c>
      <c r="L100" s="17">
        <v>54</v>
      </c>
      <c r="M100" s="17">
        <v>48.9</v>
      </c>
      <c r="N100" s="18">
        <v>0.47520000000000001</v>
      </c>
    </row>
    <row r="101" spans="1:14" ht="14.5" x14ac:dyDescent="0.35">
      <c r="A101" s="9" t="s">
        <v>219</v>
      </c>
      <c r="B101" s="15">
        <v>45737</v>
      </c>
      <c r="C101" s="9" t="s">
        <v>181</v>
      </c>
      <c r="D101" s="9" t="s">
        <v>28</v>
      </c>
      <c r="E101" s="9" t="s">
        <v>29</v>
      </c>
      <c r="F101" s="9" t="s">
        <v>30</v>
      </c>
      <c r="G101" s="9" t="s">
        <v>53</v>
      </c>
      <c r="H101" s="16">
        <v>6</v>
      </c>
      <c r="I101" s="17">
        <v>850</v>
      </c>
      <c r="J101" s="18">
        <v>0</v>
      </c>
      <c r="K101" s="17">
        <v>5100</v>
      </c>
      <c r="L101" s="17">
        <v>3120</v>
      </c>
      <c r="M101" s="17">
        <v>1980</v>
      </c>
      <c r="N101" s="18">
        <v>0.38819999999999999</v>
      </c>
    </row>
    <row r="102" spans="1:14" ht="14.5" x14ac:dyDescent="0.35">
      <c r="A102" s="9" t="s">
        <v>220</v>
      </c>
      <c r="B102" s="15">
        <v>45738</v>
      </c>
      <c r="C102" s="9" t="s">
        <v>221</v>
      </c>
      <c r="D102" s="9" t="s">
        <v>22</v>
      </c>
      <c r="E102" s="9" t="s">
        <v>23</v>
      </c>
      <c r="F102" s="9" t="s">
        <v>18</v>
      </c>
      <c r="G102" s="9" t="s">
        <v>46</v>
      </c>
      <c r="H102" s="16">
        <v>8</v>
      </c>
      <c r="I102" s="17">
        <v>65</v>
      </c>
      <c r="J102" s="18">
        <v>0.1</v>
      </c>
      <c r="K102" s="17">
        <v>468</v>
      </c>
      <c r="L102" s="17">
        <v>280</v>
      </c>
      <c r="M102" s="17">
        <v>188</v>
      </c>
      <c r="N102" s="18">
        <v>0.4017</v>
      </c>
    </row>
    <row r="103" spans="1:14" ht="14.5" x14ac:dyDescent="0.35">
      <c r="A103" s="9" t="s">
        <v>222</v>
      </c>
      <c r="B103" s="15">
        <v>45739</v>
      </c>
      <c r="C103" s="9" t="s">
        <v>84</v>
      </c>
      <c r="D103" s="9" t="s">
        <v>16</v>
      </c>
      <c r="E103" s="9" t="s">
        <v>17</v>
      </c>
      <c r="F103" s="9" t="s">
        <v>24</v>
      </c>
      <c r="G103" s="9" t="s">
        <v>35</v>
      </c>
      <c r="H103" s="16">
        <v>8</v>
      </c>
      <c r="I103" s="17">
        <v>210</v>
      </c>
      <c r="J103" s="18">
        <v>0</v>
      </c>
      <c r="K103" s="17">
        <v>1680</v>
      </c>
      <c r="L103" s="17">
        <v>1000</v>
      </c>
      <c r="M103" s="17">
        <v>680</v>
      </c>
      <c r="N103" s="18">
        <v>0.40479999999999999</v>
      </c>
    </row>
    <row r="104" spans="1:14" ht="14.5" x14ac:dyDescent="0.35">
      <c r="A104" s="9" t="s">
        <v>223</v>
      </c>
      <c r="B104" s="15">
        <v>45740</v>
      </c>
      <c r="C104" s="9" t="s">
        <v>224</v>
      </c>
      <c r="D104" s="9" t="s">
        <v>52</v>
      </c>
      <c r="E104" s="9" t="s">
        <v>23</v>
      </c>
      <c r="F104" s="9" t="s">
        <v>30</v>
      </c>
      <c r="G104" s="9" t="s">
        <v>25</v>
      </c>
      <c r="H104" s="16">
        <v>5</v>
      </c>
      <c r="I104" s="17">
        <v>35</v>
      </c>
      <c r="J104" s="18">
        <v>0</v>
      </c>
      <c r="K104" s="17">
        <v>175</v>
      </c>
      <c r="L104" s="17">
        <v>90</v>
      </c>
      <c r="M104" s="17">
        <v>85</v>
      </c>
      <c r="N104" s="18">
        <v>0.48570000000000002</v>
      </c>
    </row>
    <row r="105" spans="1:14" ht="14.5" x14ac:dyDescent="0.35">
      <c r="A105" s="9" t="s">
        <v>225</v>
      </c>
      <c r="B105" s="15">
        <v>45741</v>
      </c>
      <c r="C105" s="9" t="s">
        <v>226</v>
      </c>
      <c r="D105" s="9" t="s">
        <v>52</v>
      </c>
      <c r="E105" s="9" t="s">
        <v>23</v>
      </c>
      <c r="F105" s="9" t="s">
        <v>30</v>
      </c>
      <c r="G105" s="9" t="s">
        <v>49</v>
      </c>
      <c r="H105" s="16">
        <v>1</v>
      </c>
      <c r="I105" s="17">
        <v>35</v>
      </c>
      <c r="J105" s="18">
        <v>0.15</v>
      </c>
      <c r="K105" s="17">
        <v>29.75</v>
      </c>
      <c r="L105" s="17">
        <v>18</v>
      </c>
      <c r="M105" s="17">
        <v>11.75</v>
      </c>
      <c r="N105" s="18">
        <v>0.39500000000000002</v>
      </c>
    </row>
    <row r="106" spans="1:14" ht="14.5" x14ac:dyDescent="0.35">
      <c r="A106" s="9" t="s">
        <v>227</v>
      </c>
      <c r="B106" s="15">
        <v>45742</v>
      </c>
      <c r="C106" s="9" t="s">
        <v>131</v>
      </c>
      <c r="D106" s="9" t="s">
        <v>43</v>
      </c>
      <c r="E106" s="9" t="s">
        <v>23</v>
      </c>
      <c r="F106" s="9" t="s">
        <v>38</v>
      </c>
      <c r="G106" s="9" t="s">
        <v>19</v>
      </c>
      <c r="H106" s="16">
        <v>4</v>
      </c>
      <c r="I106" s="17">
        <v>75</v>
      </c>
      <c r="J106" s="18">
        <v>0.1</v>
      </c>
      <c r="K106" s="17">
        <v>270</v>
      </c>
      <c r="L106" s="17">
        <v>160</v>
      </c>
      <c r="M106" s="17">
        <v>110</v>
      </c>
      <c r="N106" s="18">
        <v>0.40739999999999998</v>
      </c>
    </row>
    <row r="107" spans="1:14" ht="14.5" x14ac:dyDescent="0.35">
      <c r="A107" s="9" t="s">
        <v>228</v>
      </c>
      <c r="B107" s="15">
        <v>45743</v>
      </c>
      <c r="C107" s="9" t="s">
        <v>229</v>
      </c>
      <c r="D107" s="9" t="s">
        <v>60</v>
      </c>
      <c r="E107" s="9" t="s">
        <v>34</v>
      </c>
      <c r="F107" s="9" t="s">
        <v>30</v>
      </c>
      <c r="G107" s="9" t="s">
        <v>19</v>
      </c>
      <c r="H107" s="16">
        <v>10</v>
      </c>
      <c r="I107" s="17">
        <v>240</v>
      </c>
      <c r="J107" s="18">
        <v>0</v>
      </c>
      <c r="K107" s="17">
        <v>2400</v>
      </c>
      <c r="L107" s="17">
        <v>1450</v>
      </c>
      <c r="M107" s="17">
        <v>950</v>
      </c>
      <c r="N107" s="18">
        <v>0.39579999999999999</v>
      </c>
    </row>
    <row r="108" spans="1:14" ht="14.5" x14ac:dyDescent="0.35">
      <c r="A108" s="9" t="s">
        <v>230</v>
      </c>
      <c r="B108" s="15">
        <v>45746</v>
      </c>
      <c r="C108" s="9" t="s">
        <v>95</v>
      </c>
      <c r="D108" s="9" t="s">
        <v>52</v>
      </c>
      <c r="E108" s="9" t="s">
        <v>23</v>
      </c>
      <c r="F108" s="9" t="s">
        <v>30</v>
      </c>
      <c r="G108" s="9" t="s">
        <v>53</v>
      </c>
      <c r="H108" s="16">
        <v>4</v>
      </c>
      <c r="I108" s="17">
        <v>35</v>
      </c>
      <c r="J108" s="18">
        <v>0</v>
      </c>
      <c r="K108" s="17">
        <v>140</v>
      </c>
      <c r="L108" s="17">
        <v>72</v>
      </c>
      <c r="M108" s="17">
        <v>68</v>
      </c>
      <c r="N108" s="18">
        <v>0.48570000000000002</v>
      </c>
    </row>
    <row r="109" spans="1:14" ht="14.5" x14ac:dyDescent="0.35">
      <c r="A109" s="9" t="s">
        <v>231</v>
      </c>
      <c r="B109" s="15">
        <v>45747</v>
      </c>
      <c r="C109" s="9" t="s">
        <v>202</v>
      </c>
      <c r="D109" s="9" t="s">
        <v>60</v>
      </c>
      <c r="E109" s="9" t="s">
        <v>34</v>
      </c>
      <c r="F109" s="9" t="s">
        <v>38</v>
      </c>
      <c r="G109" s="9" t="s">
        <v>35</v>
      </c>
      <c r="H109" s="16">
        <v>3</v>
      </c>
      <c r="I109" s="17">
        <v>240</v>
      </c>
      <c r="J109" s="18">
        <v>0.1</v>
      </c>
      <c r="K109" s="17">
        <v>648</v>
      </c>
      <c r="L109" s="17">
        <v>435</v>
      </c>
      <c r="M109" s="17">
        <v>213</v>
      </c>
      <c r="N109" s="18">
        <v>0.32869999999999999</v>
      </c>
    </row>
    <row r="110" spans="1:14" ht="14.5" x14ac:dyDescent="0.35">
      <c r="A110" s="9" t="s">
        <v>232</v>
      </c>
      <c r="B110" s="15">
        <v>45747</v>
      </c>
      <c r="C110" s="9" t="s">
        <v>233</v>
      </c>
      <c r="D110" s="9" t="s">
        <v>22</v>
      </c>
      <c r="E110" s="9" t="s">
        <v>23</v>
      </c>
      <c r="F110" s="9" t="s">
        <v>18</v>
      </c>
      <c r="G110" s="9" t="s">
        <v>19</v>
      </c>
      <c r="H110" s="16">
        <v>7</v>
      </c>
      <c r="I110" s="17">
        <v>65</v>
      </c>
      <c r="J110" s="18">
        <v>0.02</v>
      </c>
      <c r="K110" s="17">
        <v>445.9</v>
      </c>
      <c r="L110" s="17">
        <v>245</v>
      </c>
      <c r="M110" s="17">
        <v>200.9</v>
      </c>
      <c r="N110" s="18">
        <v>0.45050000000000001</v>
      </c>
    </row>
    <row r="111" spans="1:14" ht="14.5" x14ac:dyDescent="0.35">
      <c r="A111" s="9" t="s">
        <v>234</v>
      </c>
      <c r="B111" s="15">
        <v>45747</v>
      </c>
      <c r="C111" s="9" t="s">
        <v>235</v>
      </c>
      <c r="D111" s="9" t="s">
        <v>16</v>
      </c>
      <c r="E111" s="9" t="s">
        <v>17</v>
      </c>
      <c r="F111" s="9" t="s">
        <v>30</v>
      </c>
      <c r="G111" s="9" t="s">
        <v>46</v>
      </c>
      <c r="H111" s="16">
        <v>1</v>
      </c>
      <c r="I111" s="17">
        <v>210</v>
      </c>
      <c r="J111" s="18">
        <v>0</v>
      </c>
      <c r="K111" s="17">
        <v>210</v>
      </c>
      <c r="L111" s="17">
        <v>125</v>
      </c>
      <c r="M111" s="17">
        <v>85</v>
      </c>
      <c r="N111" s="18">
        <v>0.40479999999999999</v>
      </c>
    </row>
    <row r="112" spans="1:14" ht="14.5" x14ac:dyDescent="0.35">
      <c r="A112" s="9" t="s">
        <v>236</v>
      </c>
      <c r="B112" s="15">
        <v>45748</v>
      </c>
      <c r="C112" s="9" t="s">
        <v>237</v>
      </c>
      <c r="D112" s="9" t="s">
        <v>60</v>
      </c>
      <c r="E112" s="9" t="s">
        <v>34</v>
      </c>
      <c r="F112" s="9" t="s">
        <v>18</v>
      </c>
      <c r="G112" s="9" t="s">
        <v>49</v>
      </c>
      <c r="H112" s="16">
        <v>1</v>
      </c>
      <c r="I112" s="17">
        <v>240</v>
      </c>
      <c r="J112" s="18">
        <v>0.02</v>
      </c>
      <c r="K112" s="17">
        <v>235.2</v>
      </c>
      <c r="L112" s="17">
        <v>145</v>
      </c>
      <c r="M112" s="17">
        <v>90.2</v>
      </c>
      <c r="N112" s="18">
        <v>0.38350000000000001</v>
      </c>
    </row>
    <row r="113" spans="1:14" ht="14.5" x14ac:dyDescent="0.35">
      <c r="A113" s="9" t="s">
        <v>238</v>
      </c>
      <c r="B113" s="15">
        <v>45749</v>
      </c>
      <c r="C113" s="9" t="s">
        <v>239</v>
      </c>
      <c r="D113" s="9" t="s">
        <v>142</v>
      </c>
      <c r="E113" s="9" t="s">
        <v>29</v>
      </c>
      <c r="F113" s="9" t="s">
        <v>24</v>
      </c>
      <c r="G113" s="9" t="s">
        <v>53</v>
      </c>
      <c r="H113" s="16">
        <v>5</v>
      </c>
      <c r="I113" s="17">
        <v>280</v>
      </c>
      <c r="J113" s="18">
        <v>0.1</v>
      </c>
      <c r="K113" s="17">
        <v>1260</v>
      </c>
      <c r="L113" s="17">
        <v>850</v>
      </c>
      <c r="M113" s="17">
        <v>410</v>
      </c>
      <c r="N113" s="18">
        <v>0.32540000000000002</v>
      </c>
    </row>
    <row r="114" spans="1:14" ht="14.5" x14ac:dyDescent="0.35">
      <c r="A114" s="9" t="s">
        <v>240</v>
      </c>
      <c r="B114" s="15">
        <v>45749</v>
      </c>
      <c r="C114" s="9" t="s">
        <v>32</v>
      </c>
      <c r="D114" s="9" t="s">
        <v>142</v>
      </c>
      <c r="E114" s="9" t="s">
        <v>29</v>
      </c>
      <c r="F114" s="9" t="s">
        <v>38</v>
      </c>
      <c r="G114" s="9" t="s">
        <v>49</v>
      </c>
      <c r="H114" s="16">
        <v>8</v>
      </c>
      <c r="I114" s="17">
        <v>280</v>
      </c>
      <c r="J114" s="18">
        <v>0.02</v>
      </c>
      <c r="K114" s="17">
        <v>2195.1999999999998</v>
      </c>
      <c r="L114" s="17">
        <v>1360</v>
      </c>
      <c r="M114" s="17">
        <v>835.2</v>
      </c>
      <c r="N114" s="18">
        <v>0.3805</v>
      </c>
    </row>
    <row r="115" spans="1:14" ht="14.5" x14ac:dyDescent="0.35">
      <c r="A115" s="9" t="s">
        <v>241</v>
      </c>
      <c r="B115" s="15">
        <v>45749</v>
      </c>
      <c r="C115" s="9" t="s">
        <v>242</v>
      </c>
      <c r="D115" s="9" t="s">
        <v>52</v>
      </c>
      <c r="E115" s="9" t="s">
        <v>23</v>
      </c>
      <c r="F115" s="9" t="s">
        <v>18</v>
      </c>
      <c r="G115" s="9" t="s">
        <v>49</v>
      </c>
      <c r="H115" s="16">
        <v>5</v>
      </c>
      <c r="I115" s="17">
        <v>35</v>
      </c>
      <c r="J115" s="18">
        <v>0.02</v>
      </c>
      <c r="K115" s="17">
        <v>171.5</v>
      </c>
      <c r="L115" s="17">
        <v>90</v>
      </c>
      <c r="M115" s="17">
        <v>81.5</v>
      </c>
      <c r="N115" s="18">
        <v>0.47520000000000001</v>
      </c>
    </row>
    <row r="116" spans="1:14" ht="14.5" x14ac:dyDescent="0.35">
      <c r="A116" s="9" t="s">
        <v>243</v>
      </c>
      <c r="B116" s="15">
        <v>45750</v>
      </c>
      <c r="C116" s="9" t="s">
        <v>244</v>
      </c>
      <c r="D116" s="9" t="s">
        <v>33</v>
      </c>
      <c r="E116" s="9" t="s">
        <v>34</v>
      </c>
      <c r="F116" s="9" t="s">
        <v>38</v>
      </c>
      <c r="G116" s="9" t="s">
        <v>49</v>
      </c>
      <c r="H116" s="16">
        <v>1</v>
      </c>
      <c r="I116" s="17">
        <v>320</v>
      </c>
      <c r="J116" s="18">
        <v>0.1</v>
      </c>
      <c r="K116" s="17">
        <v>288</v>
      </c>
      <c r="L116" s="17">
        <v>195</v>
      </c>
      <c r="M116" s="17">
        <v>93</v>
      </c>
      <c r="N116" s="18">
        <v>0.32290000000000002</v>
      </c>
    </row>
    <row r="117" spans="1:14" ht="14.5" x14ac:dyDescent="0.35">
      <c r="A117" s="9" t="s">
        <v>245</v>
      </c>
      <c r="B117" s="15">
        <v>45750</v>
      </c>
      <c r="C117" s="9" t="s">
        <v>246</v>
      </c>
      <c r="D117" s="9" t="s">
        <v>43</v>
      </c>
      <c r="E117" s="9" t="s">
        <v>23</v>
      </c>
      <c r="F117" s="9" t="s">
        <v>38</v>
      </c>
      <c r="G117" s="9" t="s">
        <v>46</v>
      </c>
      <c r="H117" s="16">
        <v>10</v>
      </c>
      <c r="I117" s="17">
        <v>75</v>
      </c>
      <c r="J117" s="18">
        <v>0.05</v>
      </c>
      <c r="K117" s="17">
        <v>712.5</v>
      </c>
      <c r="L117" s="17">
        <v>400</v>
      </c>
      <c r="M117" s="17">
        <v>312.5</v>
      </c>
      <c r="N117" s="18">
        <v>0.43859999999999999</v>
      </c>
    </row>
    <row r="118" spans="1:14" ht="14.5" x14ac:dyDescent="0.35">
      <c r="A118" s="9" t="s">
        <v>247</v>
      </c>
      <c r="B118" s="15">
        <v>45751</v>
      </c>
      <c r="C118" s="9" t="s">
        <v>153</v>
      </c>
      <c r="D118" s="9" t="s">
        <v>43</v>
      </c>
      <c r="E118" s="9" t="s">
        <v>23</v>
      </c>
      <c r="F118" s="9" t="s">
        <v>24</v>
      </c>
      <c r="G118" s="9" t="s">
        <v>53</v>
      </c>
      <c r="H118" s="16">
        <v>10</v>
      </c>
      <c r="I118" s="17">
        <v>75</v>
      </c>
      <c r="J118" s="18">
        <v>0</v>
      </c>
      <c r="K118" s="17">
        <v>750</v>
      </c>
      <c r="L118" s="17">
        <v>400</v>
      </c>
      <c r="M118" s="17">
        <v>350</v>
      </c>
      <c r="N118" s="18">
        <v>0.4667</v>
      </c>
    </row>
    <row r="119" spans="1:14" ht="14.5" x14ac:dyDescent="0.35">
      <c r="A119" s="9" t="s">
        <v>248</v>
      </c>
      <c r="B119" s="15">
        <v>45752</v>
      </c>
      <c r="C119" s="9" t="s">
        <v>249</v>
      </c>
      <c r="D119" s="9" t="s">
        <v>52</v>
      </c>
      <c r="E119" s="9" t="s">
        <v>23</v>
      </c>
      <c r="F119" s="9" t="s">
        <v>24</v>
      </c>
      <c r="G119" s="9" t="s">
        <v>19</v>
      </c>
      <c r="H119" s="16">
        <v>6</v>
      </c>
      <c r="I119" s="17">
        <v>35</v>
      </c>
      <c r="J119" s="18">
        <v>0.05</v>
      </c>
      <c r="K119" s="17">
        <v>199.5</v>
      </c>
      <c r="L119" s="17">
        <v>108</v>
      </c>
      <c r="M119" s="17">
        <v>91.5</v>
      </c>
      <c r="N119" s="18">
        <v>0.45860000000000001</v>
      </c>
    </row>
    <row r="120" spans="1:14" ht="14.5" x14ac:dyDescent="0.35">
      <c r="A120" s="9" t="s">
        <v>250</v>
      </c>
      <c r="B120" s="15">
        <v>45752</v>
      </c>
      <c r="C120" s="9" t="s">
        <v>251</v>
      </c>
      <c r="D120" s="9" t="s">
        <v>142</v>
      </c>
      <c r="E120" s="9" t="s">
        <v>29</v>
      </c>
      <c r="F120" s="9" t="s">
        <v>24</v>
      </c>
      <c r="G120" s="9" t="s">
        <v>35</v>
      </c>
      <c r="H120" s="16">
        <v>3</v>
      </c>
      <c r="I120" s="17">
        <v>280</v>
      </c>
      <c r="J120" s="18">
        <v>0.02</v>
      </c>
      <c r="K120" s="17">
        <v>823.2</v>
      </c>
      <c r="L120" s="17">
        <v>510</v>
      </c>
      <c r="M120" s="17">
        <v>313.2</v>
      </c>
      <c r="N120" s="18">
        <v>0.3805</v>
      </c>
    </row>
    <row r="121" spans="1:14" ht="14.5" x14ac:dyDescent="0.35">
      <c r="A121" s="9" t="s">
        <v>252</v>
      </c>
      <c r="B121" s="15">
        <v>45752</v>
      </c>
      <c r="C121" s="9" t="s">
        <v>253</v>
      </c>
      <c r="D121" s="9" t="s">
        <v>33</v>
      </c>
      <c r="E121" s="9" t="s">
        <v>34</v>
      </c>
      <c r="F121" s="9" t="s">
        <v>38</v>
      </c>
      <c r="G121" s="9" t="s">
        <v>46</v>
      </c>
      <c r="H121" s="16">
        <v>2</v>
      </c>
      <c r="I121" s="17">
        <v>320</v>
      </c>
      <c r="J121" s="18">
        <v>0.05</v>
      </c>
      <c r="K121" s="17">
        <v>608</v>
      </c>
      <c r="L121" s="17">
        <v>390</v>
      </c>
      <c r="M121" s="17">
        <v>218</v>
      </c>
      <c r="N121" s="18">
        <v>0.35859999999999997</v>
      </c>
    </row>
    <row r="122" spans="1:14" ht="14.5" x14ac:dyDescent="0.35">
      <c r="A122" s="9" t="s">
        <v>254</v>
      </c>
      <c r="B122" s="15">
        <v>45753</v>
      </c>
      <c r="C122" s="9" t="s">
        <v>255</v>
      </c>
      <c r="D122" s="9" t="s">
        <v>52</v>
      </c>
      <c r="E122" s="9" t="s">
        <v>23</v>
      </c>
      <c r="F122" s="9" t="s">
        <v>30</v>
      </c>
      <c r="G122" s="9" t="s">
        <v>53</v>
      </c>
      <c r="H122" s="16">
        <v>1</v>
      </c>
      <c r="I122" s="17">
        <v>35</v>
      </c>
      <c r="J122" s="18">
        <v>0.02</v>
      </c>
      <c r="K122" s="17">
        <v>34.299999999999997</v>
      </c>
      <c r="L122" s="17">
        <v>18</v>
      </c>
      <c r="M122" s="17">
        <v>16.3</v>
      </c>
      <c r="N122" s="18">
        <v>0.47520000000000001</v>
      </c>
    </row>
    <row r="123" spans="1:14" ht="14.5" x14ac:dyDescent="0.35">
      <c r="A123" s="9" t="s">
        <v>256</v>
      </c>
      <c r="B123" s="15">
        <v>45753</v>
      </c>
      <c r="C123" s="9" t="s">
        <v>171</v>
      </c>
      <c r="D123" s="9" t="s">
        <v>22</v>
      </c>
      <c r="E123" s="9" t="s">
        <v>23</v>
      </c>
      <c r="F123" s="9" t="s">
        <v>18</v>
      </c>
      <c r="G123" s="9" t="s">
        <v>35</v>
      </c>
      <c r="H123" s="16">
        <v>4</v>
      </c>
      <c r="I123" s="17">
        <v>65</v>
      </c>
      <c r="J123" s="18">
        <v>0.1</v>
      </c>
      <c r="K123" s="17">
        <v>234</v>
      </c>
      <c r="L123" s="17">
        <v>140</v>
      </c>
      <c r="M123" s="17">
        <v>94</v>
      </c>
      <c r="N123" s="18">
        <v>0.4017</v>
      </c>
    </row>
    <row r="124" spans="1:14" ht="14.5" x14ac:dyDescent="0.35">
      <c r="A124" s="9" t="s">
        <v>257</v>
      </c>
      <c r="B124" s="15">
        <v>45753</v>
      </c>
      <c r="C124" s="9" t="s">
        <v>258</v>
      </c>
      <c r="D124" s="9" t="s">
        <v>16</v>
      </c>
      <c r="E124" s="9" t="s">
        <v>17</v>
      </c>
      <c r="F124" s="9" t="s">
        <v>38</v>
      </c>
      <c r="G124" s="9" t="s">
        <v>53</v>
      </c>
      <c r="H124" s="16">
        <v>2</v>
      </c>
      <c r="I124" s="17">
        <v>210</v>
      </c>
      <c r="J124" s="18">
        <v>0.1</v>
      </c>
      <c r="K124" s="17">
        <v>378</v>
      </c>
      <c r="L124" s="17">
        <v>250</v>
      </c>
      <c r="M124" s="17">
        <v>128</v>
      </c>
      <c r="N124" s="18">
        <v>0.33860000000000001</v>
      </c>
    </row>
    <row r="125" spans="1:14" ht="14.5" x14ac:dyDescent="0.35">
      <c r="A125" s="9" t="s">
        <v>259</v>
      </c>
      <c r="B125" s="15">
        <v>45755</v>
      </c>
      <c r="C125" s="9" t="s">
        <v>217</v>
      </c>
      <c r="D125" s="9" t="s">
        <v>22</v>
      </c>
      <c r="E125" s="9" t="s">
        <v>23</v>
      </c>
      <c r="F125" s="9" t="s">
        <v>38</v>
      </c>
      <c r="G125" s="9" t="s">
        <v>46</v>
      </c>
      <c r="H125" s="16">
        <v>6</v>
      </c>
      <c r="I125" s="17">
        <v>65</v>
      </c>
      <c r="J125" s="18">
        <v>0.02</v>
      </c>
      <c r="K125" s="17">
        <v>382.2</v>
      </c>
      <c r="L125" s="17">
        <v>210</v>
      </c>
      <c r="M125" s="17">
        <v>172.2</v>
      </c>
      <c r="N125" s="18">
        <v>0.45050000000000001</v>
      </c>
    </row>
    <row r="126" spans="1:14" ht="14.5" x14ac:dyDescent="0.35">
      <c r="A126" s="9" t="s">
        <v>260</v>
      </c>
      <c r="B126" s="15">
        <v>45755</v>
      </c>
      <c r="C126" s="9" t="s">
        <v>261</v>
      </c>
      <c r="D126" s="9" t="s">
        <v>22</v>
      </c>
      <c r="E126" s="9" t="s">
        <v>23</v>
      </c>
      <c r="F126" s="9" t="s">
        <v>24</v>
      </c>
      <c r="G126" s="9" t="s">
        <v>49</v>
      </c>
      <c r="H126" s="16">
        <v>6</v>
      </c>
      <c r="I126" s="17">
        <v>65</v>
      </c>
      <c r="J126" s="18">
        <v>0.15</v>
      </c>
      <c r="K126" s="17">
        <v>331.5</v>
      </c>
      <c r="L126" s="17">
        <v>210</v>
      </c>
      <c r="M126" s="17">
        <v>121.5</v>
      </c>
      <c r="N126" s="18">
        <v>0.36649999999999999</v>
      </c>
    </row>
    <row r="127" spans="1:14" ht="14.5" x14ac:dyDescent="0.35">
      <c r="A127" s="9" t="s">
        <v>262</v>
      </c>
      <c r="B127" s="15">
        <v>45756</v>
      </c>
      <c r="C127" s="9" t="s">
        <v>263</v>
      </c>
      <c r="D127" s="9" t="s">
        <v>60</v>
      </c>
      <c r="E127" s="9" t="s">
        <v>34</v>
      </c>
      <c r="F127" s="9" t="s">
        <v>24</v>
      </c>
      <c r="G127" s="9" t="s">
        <v>53</v>
      </c>
      <c r="H127" s="16">
        <v>10</v>
      </c>
      <c r="I127" s="17">
        <v>240</v>
      </c>
      <c r="J127" s="18">
        <v>0.02</v>
      </c>
      <c r="K127" s="17">
        <v>2352</v>
      </c>
      <c r="L127" s="17">
        <v>1450</v>
      </c>
      <c r="M127" s="17">
        <v>902</v>
      </c>
      <c r="N127" s="18">
        <v>0.38350000000000001</v>
      </c>
    </row>
    <row r="128" spans="1:14" ht="14.5" x14ac:dyDescent="0.35">
      <c r="A128" s="9" t="s">
        <v>264</v>
      </c>
      <c r="B128" s="15">
        <v>45756</v>
      </c>
      <c r="C128" s="9" t="s">
        <v>235</v>
      </c>
      <c r="D128" s="9" t="s">
        <v>52</v>
      </c>
      <c r="E128" s="9" t="s">
        <v>23</v>
      </c>
      <c r="F128" s="9" t="s">
        <v>38</v>
      </c>
      <c r="G128" s="9" t="s">
        <v>25</v>
      </c>
      <c r="H128" s="16">
        <v>4</v>
      </c>
      <c r="I128" s="17">
        <v>35</v>
      </c>
      <c r="J128" s="18">
        <v>0</v>
      </c>
      <c r="K128" s="17">
        <v>140</v>
      </c>
      <c r="L128" s="17">
        <v>72</v>
      </c>
      <c r="M128" s="17">
        <v>68</v>
      </c>
      <c r="N128" s="18">
        <v>0.48570000000000002</v>
      </c>
    </row>
    <row r="129" spans="1:14" ht="14.5" x14ac:dyDescent="0.35">
      <c r="A129" s="9" t="s">
        <v>265</v>
      </c>
      <c r="B129" s="15">
        <v>45756</v>
      </c>
      <c r="C129" s="9" t="s">
        <v>200</v>
      </c>
      <c r="D129" s="9" t="s">
        <v>43</v>
      </c>
      <c r="E129" s="9" t="s">
        <v>23</v>
      </c>
      <c r="F129" s="9" t="s">
        <v>38</v>
      </c>
      <c r="G129" s="9" t="s">
        <v>25</v>
      </c>
      <c r="H129" s="16">
        <v>10</v>
      </c>
      <c r="I129" s="17">
        <v>75</v>
      </c>
      <c r="J129" s="18">
        <v>0.05</v>
      </c>
      <c r="K129" s="17">
        <v>712.5</v>
      </c>
      <c r="L129" s="17">
        <v>400</v>
      </c>
      <c r="M129" s="17">
        <v>312.5</v>
      </c>
      <c r="N129" s="18">
        <v>0.43859999999999999</v>
      </c>
    </row>
    <row r="130" spans="1:14" ht="14.5" x14ac:dyDescent="0.35">
      <c r="A130" s="9" t="s">
        <v>266</v>
      </c>
      <c r="B130" s="15">
        <v>45757</v>
      </c>
      <c r="C130" s="9" t="s">
        <v>221</v>
      </c>
      <c r="D130" s="9" t="s">
        <v>60</v>
      </c>
      <c r="E130" s="9" t="s">
        <v>34</v>
      </c>
      <c r="F130" s="9" t="s">
        <v>18</v>
      </c>
      <c r="G130" s="9" t="s">
        <v>46</v>
      </c>
      <c r="H130" s="16">
        <v>1</v>
      </c>
      <c r="I130" s="17">
        <v>240</v>
      </c>
      <c r="J130" s="18">
        <v>0.02</v>
      </c>
      <c r="K130" s="17">
        <v>235.2</v>
      </c>
      <c r="L130" s="17">
        <v>145</v>
      </c>
      <c r="M130" s="17">
        <v>90.2</v>
      </c>
      <c r="N130" s="18">
        <v>0.38350000000000001</v>
      </c>
    </row>
    <row r="131" spans="1:14" ht="14.5" x14ac:dyDescent="0.35">
      <c r="A131" s="9" t="s">
        <v>267</v>
      </c>
      <c r="B131" s="15">
        <v>45757</v>
      </c>
      <c r="C131" s="9" t="s">
        <v>268</v>
      </c>
      <c r="D131" s="9" t="s">
        <v>28</v>
      </c>
      <c r="E131" s="9" t="s">
        <v>29</v>
      </c>
      <c r="F131" s="9" t="s">
        <v>18</v>
      </c>
      <c r="G131" s="9" t="s">
        <v>19</v>
      </c>
      <c r="H131" s="16">
        <v>8</v>
      </c>
      <c r="I131" s="17">
        <v>850</v>
      </c>
      <c r="J131" s="18">
        <v>0</v>
      </c>
      <c r="K131" s="17">
        <v>6800</v>
      </c>
      <c r="L131" s="17">
        <v>4160</v>
      </c>
      <c r="M131" s="17">
        <v>2640</v>
      </c>
      <c r="N131" s="18">
        <v>0.38819999999999999</v>
      </c>
    </row>
    <row r="132" spans="1:14" ht="14.5" x14ac:dyDescent="0.35">
      <c r="A132" s="9" t="s">
        <v>269</v>
      </c>
      <c r="B132" s="15">
        <v>45757</v>
      </c>
      <c r="C132" s="9" t="s">
        <v>51</v>
      </c>
      <c r="D132" s="9" t="s">
        <v>33</v>
      </c>
      <c r="E132" s="9" t="s">
        <v>34</v>
      </c>
      <c r="F132" s="9" t="s">
        <v>18</v>
      </c>
      <c r="G132" s="9" t="s">
        <v>53</v>
      </c>
      <c r="H132" s="16">
        <v>10</v>
      </c>
      <c r="I132" s="17">
        <v>320</v>
      </c>
      <c r="J132" s="18">
        <v>0.05</v>
      </c>
      <c r="K132" s="17">
        <v>3040</v>
      </c>
      <c r="L132" s="17">
        <v>1950</v>
      </c>
      <c r="M132" s="17">
        <v>1090</v>
      </c>
      <c r="N132" s="18">
        <v>0.35859999999999997</v>
      </c>
    </row>
    <row r="133" spans="1:14" ht="14.5" x14ac:dyDescent="0.35">
      <c r="A133" s="9" t="s">
        <v>270</v>
      </c>
      <c r="B133" s="15">
        <v>45758</v>
      </c>
      <c r="C133" s="9" t="s">
        <v>37</v>
      </c>
      <c r="D133" s="9" t="s">
        <v>16</v>
      </c>
      <c r="E133" s="9" t="s">
        <v>17</v>
      </c>
      <c r="F133" s="9" t="s">
        <v>24</v>
      </c>
      <c r="G133" s="9" t="s">
        <v>25</v>
      </c>
      <c r="H133" s="16">
        <v>2</v>
      </c>
      <c r="I133" s="17">
        <v>210</v>
      </c>
      <c r="J133" s="18">
        <v>0</v>
      </c>
      <c r="K133" s="17">
        <v>420</v>
      </c>
      <c r="L133" s="17">
        <v>250</v>
      </c>
      <c r="M133" s="17">
        <v>170</v>
      </c>
      <c r="N133" s="18">
        <v>0.40479999999999999</v>
      </c>
    </row>
    <row r="134" spans="1:14" ht="14.5" x14ac:dyDescent="0.35">
      <c r="A134" s="9" t="s">
        <v>271</v>
      </c>
      <c r="B134" s="15">
        <v>45758</v>
      </c>
      <c r="C134" s="9" t="s">
        <v>166</v>
      </c>
      <c r="D134" s="9" t="s">
        <v>52</v>
      </c>
      <c r="E134" s="9" t="s">
        <v>23</v>
      </c>
      <c r="F134" s="9" t="s">
        <v>30</v>
      </c>
      <c r="G134" s="9" t="s">
        <v>49</v>
      </c>
      <c r="H134" s="16">
        <v>4</v>
      </c>
      <c r="I134" s="17">
        <v>35</v>
      </c>
      <c r="J134" s="18">
        <v>0.05</v>
      </c>
      <c r="K134" s="17">
        <v>133</v>
      </c>
      <c r="L134" s="17">
        <v>72</v>
      </c>
      <c r="M134" s="17">
        <v>61</v>
      </c>
      <c r="N134" s="18">
        <v>0.45860000000000001</v>
      </c>
    </row>
    <row r="135" spans="1:14" ht="14.5" x14ac:dyDescent="0.35">
      <c r="A135" s="9" t="s">
        <v>272</v>
      </c>
      <c r="B135" s="15">
        <v>45760</v>
      </c>
      <c r="C135" s="9" t="s">
        <v>86</v>
      </c>
      <c r="D135" s="9" t="s">
        <v>142</v>
      </c>
      <c r="E135" s="9" t="s">
        <v>29</v>
      </c>
      <c r="F135" s="9" t="s">
        <v>38</v>
      </c>
      <c r="G135" s="9" t="s">
        <v>35</v>
      </c>
      <c r="H135" s="16">
        <v>10</v>
      </c>
      <c r="I135" s="17">
        <v>280</v>
      </c>
      <c r="J135" s="18">
        <v>0.1</v>
      </c>
      <c r="K135" s="17">
        <v>2520</v>
      </c>
      <c r="L135" s="17">
        <v>1700</v>
      </c>
      <c r="M135" s="17">
        <v>820</v>
      </c>
      <c r="N135" s="18">
        <v>0.32540000000000002</v>
      </c>
    </row>
    <row r="136" spans="1:14" ht="14.5" x14ac:dyDescent="0.35">
      <c r="A136" s="9" t="s">
        <v>273</v>
      </c>
      <c r="B136" s="15">
        <v>45760</v>
      </c>
      <c r="C136" s="9" t="s">
        <v>70</v>
      </c>
      <c r="D136" s="9" t="s">
        <v>28</v>
      </c>
      <c r="E136" s="9" t="s">
        <v>29</v>
      </c>
      <c r="F136" s="9" t="s">
        <v>18</v>
      </c>
      <c r="G136" s="9" t="s">
        <v>19</v>
      </c>
      <c r="H136" s="16">
        <v>7</v>
      </c>
      <c r="I136" s="17">
        <v>850</v>
      </c>
      <c r="J136" s="18">
        <v>0.15</v>
      </c>
      <c r="K136" s="17">
        <v>5057.5</v>
      </c>
      <c r="L136" s="17">
        <v>3640</v>
      </c>
      <c r="M136" s="17">
        <v>1417.5</v>
      </c>
      <c r="N136" s="18">
        <v>0.28029999999999999</v>
      </c>
    </row>
    <row r="137" spans="1:14" ht="14.5" x14ac:dyDescent="0.35">
      <c r="A137" s="9" t="s">
        <v>274</v>
      </c>
      <c r="B137" s="15">
        <v>45761</v>
      </c>
      <c r="C137" s="9" t="s">
        <v>169</v>
      </c>
      <c r="D137" s="9" t="s">
        <v>142</v>
      </c>
      <c r="E137" s="9" t="s">
        <v>29</v>
      </c>
      <c r="F137" s="9" t="s">
        <v>38</v>
      </c>
      <c r="G137" s="9" t="s">
        <v>49</v>
      </c>
      <c r="H137" s="16">
        <v>6</v>
      </c>
      <c r="I137" s="17">
        <v>280</v>
      </c>
      <c r="J137" s="18">
        <v>0</v>
      </c>
      <c r="K137" s="17">
        <v>1680</v>
      </c>
      <c r="L137" s="17">
        <v>1020</v>
      </c>
      <c r="M137" s="17">
        <v>660</v>
      </c>
      <c r="N137" s="18">
        <v>0.39290000000000003</v>
      </c>
    </row>
    <row r="138" spans="1:14" ht="14.5" x14ac:dyDescent="0.35">
      <c r="A138" s="9" t="s">
        <v>275</v>
      </c>
      <c r="B138" s="15">
        <v>45762</v>
      </c>
      <c r="C138" s="9" t="s">
        <v>57</v>
      </c>
      <c r="D138" s="9" t="s">
        <v>60</v>
      </c>
      <c r="E138" s="9" t="s">
        <v>34</v>
      </c>
      <c r="F138" s="9" t="s">
        <v>24</v>
      </c>
      <c r="G138" s="9" t="s">
        <v>49</v>
      </c>
      <c r="H138" s="16">
        <v>5</v>
      </c>
      <c r="I138" s="17">
        <v>240</v>
      </c>
      <c r="J138" s="18">
        <v>0</v>
      </c>
      <c r="K138" s="17">
        <v>1200</v>
      </c>
      <c r="L138" s="17">
        <v>725</v>
      </c>
      <c r="M138" s="17">
        <v>475</v>
      </c>
      <c r="N138" s="18">
        <v>0.39579999999999999</v>
      </c>
    </row>
    <row r="139" spans="1:14" ht="14.5" x14ac:dyDescent="0.35">
      <c r="A139" s="9" t="s">
        <v>276</v>
      </c>
      <c r="B139" s="15">
        <v>45762</v>
      </c>
      <c r="C139" s="9" t="s">
        <v>181</v>
      </c>
      <c r="D139" s="9" t="s">
        <v>43</v>
      </c>
      <c r="E139" s="9" t="s">
        <v>23</v>
      </c>
      <c r="F139" s="9" t="s">
        <v>30</v>
      </c>
      <c r="G139" s="9" t="s">
        <v>25</v>
      </c>
      <c r="H139" s="16">
        <v>5</v>
      </c>
      <c r="I139" s="17">
        <v>75</v>
      </c>
      <c r="J139" s="18">
        <v>0.02</v>
      </c>
      <c r="K139" s="17">
        <v>367.5</v>
      </c>
      <c r="L139" s="17">
        <v>200</v>
      </c>
      <c r="M139" s="17">
        <v>167.5</v>
      </c>
      <c r="N139" s="18">
        <v>0.45579999999999998</v>
      </c>
    </row>
    <row r="140" spans="1:14" ht="14.5" x14ac:dyDescent="0.35">
      <c r="A140" s="9" t="s">
        <v>277</v>
      </c>
      <c r="B140" s="15">
        <v>45763</v>
      </c>
      <c r="C140" s="9" t="s">
        <v>278</v>
      </c>
      <c r="D140" s="9" t="s">
        <v>60</v>
      </c>
      <c r="E140" s="9" t="s">
        <v>34</v>
      </c>
      <c r="F140" s="9" t="s">
        <v>24</v>
      </c>
      <c r="G140" s="9" t="s">
        <v>46</v>
      </c>
      <c r="H140" s="16">
        <v>6</v>
      </c>
      <c r="I140" s="17">
        <v>240</v>
      </c>
      <c r="J140" s="18">
        <v>0.05</v>
      </c>
      <c r="K140" s="17">
        <v>1368</v>
      </c>
      <c r="L140" s="17">
        <v>870</v>
      </c>
      <c r="M140" s="17">
        <v>498</v>
      </c>
      <c r="N140" s="18">
        <v>0.36399999999999999</v>
      </c>
    </row>
    <row r="141" spans="1:14" ht="14.5" x14ac:dyDescent="0.35">
      <c r="A141" s="9" t="s">
        <v>279</v>
      </c>
      <c r="B141" s="15">
        <v>45763</v>
      </c>
      <c r="C141" s="9" t="s">
        <v>179</v>
      </c>
      <c r="D141" s="9" t="s">
        <v>43</v>
      </c>
      <c r="E141" s="9" t="s">
        <v>23</v>
      </c>
      <c r="F141" s="9" t="s">
        <v>38</v>
      </c>
      <c r="G141" s="9" t="s">
        <v>49</v>
      </c>
      <c r="H141" s="16">
        <v>10</v>
      </c>
      <c r="I141" s="17">
        <v>75</v>
      </c>
      <c r="J141" s="18">
        <v>0.02</v>
      </c>
      <c r="K141" s="17">
        <v>735</v>
      </c>
      <c r="L141" s="17">
        <v>400</v>
      </c>
      <c r="M141" s="17">
        <v>335</v>
      </c>
      <c r="N141" s="18">
        <v>0.45579999999999998</v>
      </c>
    </row>
    <row r="142" spans="1:14" ht="14.5" x14ac:dyDescent="0.35">
      <c r="A142" s="9" t="s">
        <v>280</v>
      </c>
      <c r="B142" s="15">
        <v>45765</v>
      </c>
      <c r="C142" s="9" t="s">
        <v>281</v>
      </c>
      <c r="D142" s="9" t="s">
        <v>52</v>
      </c>
      <c r="E142" s="9" t="s">
        <v>23</v>
      </c>
      <c r="F142" s="9" t="s">
        <v>18</v>
      </c>
      <c r="G142" s="9" t="s">
        <v>49</v>
      </c>
      <c r="H142" s="16">
        <v>5</v>
      </c>
      <c r="I142" s="17">
        <v>35</v>
      </c>
      <c r="J142" s="18">
        <v>0</v>
      </c>
      <c r="K142" s="17">
        <v>175</v>
      </c>
      <c r="L142" s="17">
        <v>90</v>
      </c>
      <c r="M142" s="17">
        <v>85</v>
      </c>
      <c r="N142" s="18">
        <v>0.48570000000000002</v>
      </c>
    </row>
    <row r="143" spans="1:14" ht="14.5" x14ac:dyDescent="0.35">
      <c r="A143" s="9" t="s">
        <v>282</v>
      </c>
      <c r="B143" s="15">
        <v>45766</v>
      </c>
      <c r="C143" s="9" t="s">
        <v>283</v>
      </c>
      <c r="D143" s="9" t="s">
        <v>142</v>
      </c>
      <c r="E143" s="9" t="s">
        <v>29</v>
      </c>
      <c r="F143" s="9" t="s">
        <v>30</v>
      </c>
      <c r="G143" s="9" t="s">
        <v>19</v>
      </c>
      <c r="H143" s="16">
        <v>2</v>
      </c>
      <c r="I143" s="17">
        <v>280</v>
      </c>
      <c r="J143" s="18">
        <v>0.02</v>
      </c>
      <c r="K143" s="17">
        <v>548.79999999999995</v>
      </c>
      <c r="L143" s="17">
        <v>340</v>
      </c>
      <c r="M143" s="17">
        <v>208.8</v>
      </c>
      <c r="N143" s="18">
        <v>0.3805</v>
      </c>
    </row>
    <row r="144" spans="1:14" ht="14.5" x14ac:dyDescent="0.35">
      <c r="A144" s="9" t="s">
        <v>284</v>
      </c>
      <c r="B144" s="15">
        <v>45768</v>
      </c>
      <c r="C144" s="9" t="s">
        <v>64</v>
      </c>
      <c r="D144" s="9" t="s">
        <v>28</v>
      </c>
      <c r="E144" s="9" t="s">
        <v>29</v>
      </c>
      <c r="F144" s="9" t="s">
        <v>24</v>
      </c>
      <c r="G144" s="9" t="s">
        <v>25</v>
      </c>
      <c r="H144" s="16">
        <v>7</v>
      </c>
      <c r="I144" s="17">
        <v>850</v>
      </c>
      <c r="J144" s="18">
        <v>0.15</v>
      </c>
      <c r="K144" s="17">
        <v>5057.5</v>
      </c>
      <c r="L144" s="17">
        <v>3640</v>
      </c>
      <c r="M144" s="17">
        <v>1417.5</v>
      </c>
      <c r="N144" s="18">
        <v>0.28029999999999999</v>
      </c>
    </row>
    <row r="145" spans="1:14" ht="14.5" x14ac:dyDescent="0.35">
      <c r="A145" s="9" t="s">
        <v>285</v>
      </c>
      <c r="B145" s="15">
        <v>45769</v>
      </c>
      <c r="C145" s="9" t="s">
        <v>192</v>
      </c>
      <c r="D145" s="9" t="s">
        <v>60</v>
      </c>
      <c r="E145" s="9" t="s">
        <v>34</v>
      </c>
      <c r="F145" s="9" t="s">
        <v>30</v>
      </c>
      <c r="G145" s="9" t="s">
        <v>35</v>
      </c>
      <c r="H145" s="16">
        <v>1</v>
      </c>
      <c r="I145" s="17">
        <v>240</v>
      </c>
      <c r="J145" s="18">
        <v>0.05</v>
      </c>
      <c r="K145" s="17">
        <v>228</v>
      </c>
      <c r="L145" s="17">
        <v>145</v>
      </c>
      <c r="M145" s="17">
        <v>83</v>
      </c>
      <c r="N145" s="18">
        <v>0.36399999999999999</v>
      </c>
    </row>
    <row r="146" spans="1:14" ht="14.5" x14ac:dyDescent="0.35">
      <c r="A146" s="9" t="s">
        <v>286</v>
      </c>
      <c r="B146" s="15">
        <v>45771</v>
      </c>
      <c r="C146" s="9" t="s">
        <v>89</v>
      </c>
      <c r="D146" s="9" t="s">
        <v>60</v>
      </c>
      <c r="E146" s="9" t="s">
        <v>34</v>
      </c>
      <c r="F146" s="9" t="s">
        <v>30</v>
      </c>
      <c r="G146" s="9" t="s">
        <v>46</v>
      </c>
      <c r="H146" s="16">
        <v>2</v>
      </c>
      <c r="I146" s="17">
        <v>240</v>
      </c>
      <c r="J146" s="18">
        <v>0.02</v>
      </c>
      <c r="K146" s="17">
        <v>470.4</v>
      </c>
      <c r="L146" s="17">
        <v>290</v>
      </c>
      <c r="M146" s="17">
        <v>180.4</v>
      </c>
      <c r="N146" s="18">
        <v>0.38350000000000001</v>
      </c>
    </row>
    <row r="147" spans="1:14" ht="14.5" x14ac:dyDescent="0.35">
      <c r="A147" s="9" t="s">
        <v>287</v>
      </c>
      <c r="B147" s="15">
        <v>45771</v>
      </c>
      <c r="C147" s="9" t="s">
        <v>288</v>
      </c>
      <c r="D147" s="9" t="s">
        <v>16</v>
      </c>
      <c r="E147" s="9" t="s">
        <v>17</v>
      </c>
      <c r="F147" s="9" t="s">
        <v>24</v>
      </c>
      <c r="G147" s="9" t="s">
        <v>46</v>
      </c>
      <c r="H147" s="16">
        <v>4</v>
      </c>
      <c r="I147" s="17">
        <v>210</v>
      </c>
      <c r="J147" s="18">
        <v>0.15</v>
      </c>
      <c r="K147" s="17">
        <v>714</v>
      </c>
      <c r="L147" s="17">
        <v>500</v>
      </c>
      <c r="M147" s="17">
        <v>214</v>
      </c>
      <c r="N147" s="18">
        <v>0.29970000000000002</v>
      </c>
    </row>
    <row r="148" spans="1:14" ht="14.5" x14ac:dyDescent="0.35">
      <c r="A148" s="9" t="s">
        <v>289</v>
      </c>
      <c r="B148" s="15">
        <v>45772</v>
      </c>
      <c r="C148" s="9" t="s">
        <v>290</v>
      </c>
      <c r="D148" s="9" t="s">
        <v>28</v>
      </c>
      <c r="E148" s="9" t="s">
        <v>29</v>
      </c>
      <c r="F148" s="9" t="s">
        <v>30</v>
      </c>
      <c r="G148" s="9" t="s">
        <v>19</v>
      </c>
      <c r="H148" s="16">
        <v>1</v>
      </c>
      <c r="I148" s="17">
        <v>850</v>
      </c>
      <c r="J148" s="18">
        <v>0.15</v>
      </c>
      <c r="K148" s="17">
        <v>722.5</v>
      </c>
      <c r="L148" s="17">
        <v>520</v>
      </c>
      <c r="M148" s="17">
        <v>202.5</v>
      </c>
      <c r="N148" s="18">
        <v>0.28029999999999999</v>
      </c>
    </row>
    <row r="149" spans="1:14" ht="14.5" x14ac:dyDescent="0.35">
      <c r="A149" s="9" t="s">
        <v>291</v>
      </c>
      <c r="B149" s="15">
        <v>45774</v>
      </c>
      <c r="C149" s="9" t="s">
        <v>109</v>
      </c>
      <c r="D149" s="9" t="s">
        <v>33</v>
      </c>
      <c r="E149" s="9" t="s">
        <v>34</v>
      </c>
      <c r="F149" s="9" t="s">
        <v>30</v>
      </c>
      <c r="G149" s="9" t="s">
        <v>53</v>
      </c>
      <c r="H149" s="16">
        <v>6</v>
      </c>
      <c r="I149" s="17">
        <v>320</v>
      </c>
      <c r="J149" s="18">
        <v>0.15</v>
      </c>
      <c r="K149" s="17">
        <v>1632</v>
      </c>
      <c r="L149" s="17">
        <v>1170</v>
      </c>
      <c r="M149" s="17">
        <v>462</v>
      </c>
      <c r="N149" s="18">
        <v>0.28310000000000002</v>
      </c>
    </row>
    <row r="150" spans="1:14" ht="14.5" x14ac:dyDescent="0.35">
      <c r="A150" s="9" t="s">
        <v>292</v>
      </c>
      <c r="B150" s="15">
        <v>45774</v>
      </c>
      <c r="C150" s="9" t="s">
        <v>293</v>
      </c>
      <c r="D150" s="9" t="s">
        <v>142</v>
      </c>
      <c r="E150" s="9" t="s">
        <v>29</v>
      </c>
      <c r="F150" s="9" t="s">
        <v>30</v>
      </c>
      <c r="G150" s="9" t="s">
        <v>25</v>
      </c>
      <c r="H150" s="16">
        <v>10</v>
      </c>
      <c r="I150" s="17">
        <v>280</v>
      </c>
      <c r="J150" s="18">
        <v>0.05</v>
      </c>
      <c r="K150" s="17">
        <v>2660</v>
      </c>
      <c r="L150" s="17">
        <v>1700</v>
      </c>
      <c r="M150" s="17">
        <v>960</v>
      </c>
      <c r="N150" s="18">
        <v>0.3609</v>
      </c>
    </row>
    <row r="151" spans="1:14" ht="14.5" x14ac:dyDescent="0.35">
      <c r="A151" s="9" t="s">
        <v>294</v>
      </c>
      <c r="B151" s="15">
        <v>45775</v>
      </c>
      <c r="C151" s="9" t="s">
        <v>295</v>
      </c>
      <c r="D151" s="9" t="s">
        <v>142</v>
      </c>
      <c r="E151" s="9" t="s">
        <v>29</v>
      </c>
      <c r="F151" s="9" t="s">
        <v>18</v>
      </c>
      <c r="G151" s="9" t="s">
        <v>25</v>
      </c>
      <c r="H151" s="16">
        <v>6</v>
      </c>
      <c r="I151" s="17">
        <v>280</v>
      </c>
      <c r="J151" s="18">
        <v>0.1</v>
      </c>
      <c r="K151" s="17">
        <v>1512</v>
      </c>
      <c r="L151" s="17">
        <v>1020</v>
      </c>
      <c r="M151" s="17">
        <v>492</v>
      </c>
      <c r="N151" s="18">
        <v>0.32540000000000002</v>
      </c>
    </row>
    <row r="152" spans="1:14" ht="14.5" x14ac:dyDescent="0.35">
      <c r="A152" s="9" t="s">
        <v>296</v>
      </c>
      <c r="B152" s="15">
        <v>45775</v>
      </c>
      <c r="C152" s="9" t="s">
        <v>297</v>
      </c>
      <c r="D152" s="9" t="s">
        <v>22</v>
      </c>
      <c r="E152" s="9" t="s">
        <v>23</v>
      </c>
      <c r="F152" s="9" t="s">
        <v>18</v>
      </c>
      <c r="G152" s="9" t="s">
        <v>35</v>
      </c>
      <c r="H152" s="16">
        <v>1</v>
      </c>
      <c r="I152" s="17">
        <v>65</v>
      </c>
      <c r="J152" s="18">
        <v>0</v>
      </c>
      <c r="K152" s="17">
        <v>65</v>
      </c>
      <c r="L152" s="17">
        <v>35</v>
      </c>
      <c r="M152" s="17">
        <v>30</v>
      </c>
      <c r="N152" s="18">
        <v>0.46150000000000002</v>
      </c>
    </row>
    <row r="153" spans="1:14" ht="14.5" x14ac:dyDescent="0.35">
      <c r="A153" s="9" t="s">
        <v>298</v>
      </c>
      <c r="B153" s="15">
        <v>45776</v>
      </c>
      <c r="C153" s="9" t="s">
        <v>299</v>
      </c>
      <c r="D153" s="9" t="s">
        <v>52</v>
      </c>
      <c r="E153" s="9" t="s">
        <v>23</v>
      </c>
      <c r="F153" s="9" t="s">
        <v>38</v>
      </c>
      <c r="G153" s="9" t="s">
        <v>53</v>
      </c>
      <c r="H153" s="16">
        <v>1</v>
      </c>
      <c r="I153" s="17">
        <v>35</v>
      </c>
      <c r="J153" s="18">
        <v>0.05</v>
      </c>
      <c r="K153" s="17">
        <v>33.25</v>
      </c>
      <c r="L153" s="17">
        <v>18</v>
      </c>
      <c r="M153" s="17">
        <v>15.25</v>
      </c>
      <c r="N153" s="18">
        <v>0.45860000000000001</v>
      </c>
    </row>
    <row r="154" spans="1:14" ht="14.5" x14ac:dyDescent="0.35">
      <c r="A154" s="9" t="s">
        <v>300</v>
      </c>
      <c r="B154" s="15">
        <v>45777</v>
      </c>
      <c r="C154" s="9" t="s">
        <v>301</v>
      </c>
      <c r="D154" s="9" t="s">
        <v>33</v>
      </c>
      <c r="E154" s="9" t="s">
        <v>34</v>
      </c>
      <c r="F154" s="9" t="s">
        <v>30</v>
      </c>
      <c r="G154" s="9" t="s">
        <v>25</v>
      </c>
      <c r="H154" s="16">
        <v>8</v>
      </c>
      <c r="I154" s="17">
        <v>320</v>
      </c>
      <c r="J154" s="18">
        <v>0</v>
      </c>
      <c r="K154" s="17">
        <v>2560</v>
      </c>
      <c r="L154" s="17">
        <v>1560</v>
      </c>
      <c r="M154" s="17">
        <v>1000</v>
      </c>
      <c r="N154" s="18">
        <v>0.3906</v>
      </c>
    </row>
    <row r="155" spans="1:14" ht="14.5" x14ac:dyDescent="0.35">
      <c r="A155" s="9" t="s">
        <v>302</v>
      </c>
      <c r="B155" s="15">
        <v>45779</v>
      </c>
      <c r="C155" s="9" t="s">
        <v>303</v>
      </c>
      <c r="D155" s="9" t="s">
        <v>60</v>
      </c>
      <c r="E155" s="9" t="s">
        <v>34</v>
      </c>
      <c r="F155" s="9" t="s">
        <v>24</v>
      </c>
      <c r="G155" s="9" t="s">
        <v>35</v>
      </c>
      <c r="H155" s="16">
        <v>6</v>
      </c>
      <c r="I155" s="17">
        <v>240</v>
      </c>
      <c r="J155" s="18">
        <v>0.05</v>
      </c>
      <c r="K155" s="17">
        <v>1368</v>
      </c>
      <c r="L155" s="17">
        <v>870</v>
      </c>
      <c r="M155" s="17">
        <v>498</v>
      </c>
      <c r="N155" s="18">
        <v>0.36399999999999999</v>
      </c>
    </row>
    <row r="156" spans="1:14" ht="14.5" x14ac:dyDescent="0.35">
      <c r="A156" s="9" t="s">
        <v>304</v>
      </c>
      <c r="B156" s="15">
        <v>45779</v>
      </c>
      <c r="C156" s="9" t="s">
        <v>305</v>
      </c>
      <c r="D156" s="9" t="s">
        <v>33</v>
      </c>
      <c r="E156" s="9" t="s">
        <v>34</v>
      </c>
      <c r="F156" s="9" t="s">
        <v>38</v>
      </c>
      <c r="G156" s="9" t="s">
        <v>35</v>
      </c>
      <c r="H156" s="16">
        <v>8</v>
      </c>
      <c r="I156" s="17">
        <v>320</v>
      </c>
      <c r="J156" s="18">
        <v>0.1</v>
      </c>
      <c r="K156" s="17">
        <v>2304</v>
      </c>
      <c r="L156" s="17">
        <v>1560</v>
      </c>
      <c r="M156" s="17">
        <v>744</v>
      </c>
      <c r="N156" s="18">
        <v>0.32290000000000002</v>
      </c>
    </row>
    <row r="157" spans="1:14" ht="14.5" x14ac:dyDescent="0.35">
      <c r="A157" s="9" t="s">
        <v>306</v>
      </c>
      <c r="B157" s="15">
        <v>45779</v>
      </c>
      <c r="C157" s="9" t="s">
        <v>221</v>
      </c>
      <c r="D157" s="9" t="s">
        <v>142</v>
      </c>
      <c r="E157" s="9" t="s">
        <v>29</v>
      </c>
      <c r="F157" s="9" t="s">
        <v>30</v>
      </c>
      <c r="G157" s="9" t="s">
        <v>53</v>
      </c>
      <c r="H157" s="16">
        <v>5</v>
      </c>
      <c r="I157" s="17">
        <v>280</v>
      </c>
      <c r="J157" s="18">
        <v>0.1</v>
      </c>
      <c r="K157" s="17">
        <v>1260</v>
      </c>
      <c r="L157" s="17">
        <v>850</v>
      </c>
      <c r="M157" s="17">
        <v>410</v>
      </c>
      <c r="N157" s="18">
        <v>0.32540000000000002</v>
      </c>
    </row>
    <row r="158" spans="1:14" ht="14.5" x14ac:dyDescent="0.35">
      <c r="A158" s="9" t="s">
        <v>307</v>
      </c>
      <c r="B158" s="15">
        <v>45779</v>
      </c>
      <c r="C158" s="9" t="s">
        <v>308</v>
      </c>
      <c r="D158" s="9" t="s">
        <v>22</v>
      </c>
      <c r="E158" s="9" t="s">
        <v>23</v>
      </c>
      <c r="F158" s="9" t="s">
        <v>18</v>
      </c>
      <c r="G158" s="9" t="s">
        <v>25</v>
      </c>
      <c r="H158" s="16">
        <v>2</v>
      </c>
      <c r="I158" s="17">
        <v>65</v>
      </c>
      <c r="J158" s="18">
        <v>0</v>
      </c>
      <c r="K158" s="17">
        <v>130</v>
      </c>
      <c r="L158" s="17">
        <v>70</v>
      </c>
      <c r="M158" s="17">
        <v>60</v>
      </c>
      <c r="N158" s="18">
        <v>0.46150000000000002</v>
      </c>
    </row>
    <row r="159" spans="1:14" ht="14.5" x14ac:dyDescent="0.35">
      <c r="A159" s="9" t="s">
        <v>309</v>
      </c>
      <c r="B159" s="15">
        <v>45779</v>
      </c>
      <c r="C159" s="9" t="s">
        <v>310</v>
      </c>
      <c r="D159" s="9" t="s">
        <v>33</v>
      </c>
      <c r="E159" s="9" t="s">
        <v>34</v>
      </c>
      <c r="F159" s="9" t="s">
        <v>30</v>
      </c>
      <c r="G159" s="9" t="s">
        <v>35</v>
      </c>
      <c r="H159" s="16">
        <v>9</v>
      </c>
      <c r="I159" s="17">
        <v>320</v>
      </c>
      <c r="J159" s="18">
        <v>0.05</v>
      </c>
      <c r="K159" s="17">
        <v>2736</v>
      </c>
      <c r="L159" s="17">
        <v>1755</v>
      </c>
      <c r="M159" s="17">
        <v>981</v>
      </c>
      <c r="N159" s="18">
        <v>0.35859999999999997</v>
      </c>
    </row>
    <row r="160" spans="1:14" ht="14.5" x14ac:dyDescent="0.35">
      <c r="A160" s="9" t="s">
        <v>311</v>
      </c>
      <c r="B160" s="15">
        <v>45781</v>
      </c>
      <c r="C160" s="9" t="s">
        <v>312</v>
      </c>
      <c r="D160" s="9" t="s">
        <v>52</v>
      </c>
      <c r="E160" s="9" t="s">
        <v>23</v>
      </c>
      <c r="F160" s="9" t="s">
        <v>24</v>
      </c>
      <c r="G160" s="9" t="s">
        <v>25</v>
      </c>
      <c r="H160" s="16">
        <v>6</v>
      </c>
      <c r="I160" s="17">
        <v>35</v>
      </c>
      <c r="J160" s="18">
        <v>0.05</v>
      </c>
      <c r="K160" s="17">
        <v>199.5</v>
      </c>
      <c r="L160" s="17">
        <v>108</v>
      </c>
      <c r="M160" s="17">
        <v>91.5</v>
      </c>
      <c r="N160" s="18">
        <v>0.45860000000000001</v>
      </c>
    </row>
    <row r="161" spans="1:14" ht="14.5" x14ac:dyDescent="0.35">
      <c r="A161" s="9" t="s">
        <v>313</v>
      </c>
      <c r="B161" s="15">
        <v>45782</v>
      </c>
      <c r="C161" s="9" t="s">
        <v>205</v>
      </c>
      <c r="D161" s="9" t="s">
        <v>52</v>
      </c>
      <c r="E161" s="9" t="s">
        <v>23</v>
      </c>
      <c r="F161" s="9" t="s">
        <v>38</v>
      </c>
      <c r="G161" s="9" t="s">
        <v>49</v>
      </c>
      <c r="H161" s="16">
        <v>2</v>
      </c>
      <c r="I161" s="17">
        <v>35</v>
      </c>
      <c r="J161" s="18">
        <v>0</v>
      </c>
      <c r="K161" s="17">
        <v>70</v>
      </c>
      <c r="L161" s="17">
        <v>36</v>
      </c>
      <c r="M161" s="17">
        <v>34</v>
      </c>
      <c r="N161" s="18">
        <v>0.48570000000000002</v>
      </c>
    </row>
    <row r="162" spans="1:14" ht="14.5" x14ac:dyDescent="0.35">
      <c r="A162" s="9" t="s">
        <v>314</v>
      </c>
      <c r="B162" s="15">
        <v>45783</v>
      </c>
      <c r="C162" s="9" t="s">
        <v>315</v>
      </c>
      <c r="D162" s="9" t="s">
        <v>142</v>
      </c>
      <c r="E162" s="9" t="s">
        <v>29</v>
      </c>
      <c r="F162" s="9" t="s">
        <v>38</v>
      </c>
      <c r="G162" s="9" t="s">
        <v>35</v>
      </c>
      <c r="H162" s="16">
        <v>9</v>
      </c>
      <c r="I162" s="17">
        <v>280</v>
      </c>
      <c r="J162" s="18">
        <v>0.15</v>
      </c>
      <c r="K162" s="17">
        <v>2142</v>
      </c>
      <c r="L162" s="17">
        <v>1530</v>
      </c>
      <c r="M162" s="17">
        <v>612</v>
      </c>
      <c r="N162" s="18">
        <v>0.28570000000000001</v>
      </c>
    </row>
    <row r="163" spans="1:14" ht="14.5" x14ac:dyDescent="0.35">
      <c r="A163" s="9" t="s">
        <v>316</v>
      </c>
      <c r="B163" s="15">
        <v>45783</v>
      </c>
      <c r="C163" s="9" t="s">
        <v>15</v>
      </c>
      <c r="D163" s="9" t="s">
        <v>28</v>
      </c>
      <c r="E163" s="9" t="s">
        <v>29</v>
      </c>
      <c r="F163" s="9" t="s">
        <v>38</v>
      </c>
      <c r="G163" s="9" t="s">
        <v>35</v>
      </c>
      <c r="H163" s="16">
        <v>2</v>
      </c>
      <c r="I163" s="17">
        <v>850</v>
      </c>
      <c r="J163" s="18">
        <v>0</v>
      </c>
      <c r="K163" s="17">
        <v>1700</v>
      </c>
      <c r="L163" s="17">
        <v>1040</v>
      </c>
      <c r="M163" s="17">
        <v>660</v>
      </c>
      <c r="N163" s="18">
        <v>0.38819999999999999</v>
      </c>
    </row>
    <row r="164" spans="1:14" ht="14.5" x14ac:dyDescent="0.35">
      <c r="A164" s="9" t="s">
        <v>317</v>
      </c>
      <c r="B164" s="15">
        <v>45783</v>
      </c>
      <c r="C164" s="9" t="s">
        <v>72</v>
      </c>
      <c r="D164" s="9" t="s">
        <v>16</v>
      </c>
      <c r="E164" s="9" t="s">
        <v>17</v>
      </c>
      <c r="F164" s="9" t="s">
        <v>24</v>
      </c>
      <c r="G164" s="9" t="s">
        <v>35</v>
      </c>
      <c r="H164" s="16">
        <v>9</v>
      </c>
      <c r="I164" s="17">
        <v>210</v>
      </c>
      <c r="J164" s="18">
        <v>0</v>
      </c>
      <c r="K164" s="17">
        <v>1890</v>
      </c>
      <c r="L164" s="17">
        <v>1125</v>
      </c>
      <c r="M164" s="17">
        <v>765</v>
      </c>
      <c r="N164" s="18">
        <v>0.40479999999999999</v>
      </c>
    </row>
    <row r="165" spans="1:14" ht="14.5" x14ac:dyDescent="0.35">
      <c r="A165" s="9" t="s">
        <v>318</v>
      </c>
      <c r="B165" s="15">
        <v>45783</v>
      </c>
      <c r="C165" s="9" t="s">
        <v>319</v>
      </c>
      <c r="D165" s="9" t="s">
        <v>22</v>
      </c>
      <c r="E165" s="9" t="s">
        <v>23</v>
      </c>
      <c r="F165" s="9" t="s">
        <v>18</v>
      </c>
      <c r="G165" s="9" t="s">
        <v>35</v>
      </c>
      <c r="H165" s="16">
        <v>3</v>
      </c>
      <c r="I165" s="17">
        <v>65</v>
      </c>
      <c r="J165" s="18">
        <v>0.02</v>
      </c>
      <c r="K165" s="17">
        <v>191.1</v>
      </c>
      <c r="L165" s="17">
        <v>105</v>
      </c>
      <c r="M165" s="17">
        <v>86.1</v>
      </c>
      <c r="N165" s="18">
        <v>0.45050000000000001</v>
      </c>
    </row>
    <row r="166" spans="1:14" ht="14.5" x14ac:dyDescent="0.35">
      <c r="A166" s="9" t="s">
        <v>320</v>
      </c>
      <c r="B166" s="15">
        <v>45784</v>
      </c>
      <c r="C166" s="9" t="s">
        <v>226</v>
      </c>
      <c r="D166" s="9" t="s">
        <v>22</v>
      </c>
      <c r="E166" s="9" t="s">
        <v>23</v>
      </c>
      <c r="F166" s="9" t="s">
        <v>30</v>
      </c>
      <c r="G166" s="9" t="s">
        <v>46</v>
      </c>
      <c r="H166" s="16">
        <v>4</v>
      </c>
      <c r="I166" s="17">
        <v>65</v>
      </c>
      <c r="J166" s="18">
        <v>0.05</v>
      </c>
      <c r="K166" s="17">
        <v>247</v>
      </c>
      <c r="L166" s="17">
        <v>140</v>
      </c>
      <c r="M166" s="17">
        <v>107</v>
      </c>
      <c r="N166" s="18">
        <v>0.43319999999999997</v>
      </c>
    </row>
    <row r="167" spans="1:14" ht="14.5" x14ac:dyDescent="0.35">
      <c r="A167" s="9" t="s">
        <v>321</v>
      </c>
      <c r="B167" s="15">
        <v>45784</v>
      </c>
      <c r="C167" s="9" t="s">
        <v>322</v>
      </c>
      <c r="D167" s="9" t="s">
        <v>142</v>
      </c>
      <c r="E167" s="9" t="s">
        <v>29</v>
      </c>
      <c r="F167" s="9" t="s">
        <v>38</v>
      </c>
      <c r="G167" s="9" t="s">
        <v>19</v>
      </c>
      <c r="H167" s="16">
        <v>6</v>
      </c>
      <c r="I167" s="17">
        <v>280</v>
      </c>
      <c r="J167" s="18">
        <v>0.05</v>
      </c>
      <c r="K167" s="17">
        <v>1596</v>
      </c>
      <c r="L167" s="17">
        <v>1020</v>
      </c>
      <c r="M167" s="17">
        <v>576</v>
      </c>
      <c r="N167" s="18">
        <v>0.3609</v>
      </c>
    </row>
    <row r="168" spans="1:14" ht="14.5" x14ac:dyDescent="0.35">
      <c r="A168" s="9" t="s">
        <v>323</v>
      </c>
      <c r="B168" s="15">
        <v>45785</v>
      </c>
      <c r="C168" s="9" t="s">
        <v>70</v>
      </c>
      <c r="D168" s="9" t="s">
        <v>43</v>
      </c>
      <c r="E168" s="9" t="s">
        <v>23</v>
      </c>
      <c r="F168" s="9" t="s">
        <v>30</v>
      </c>
      <c r="G168" s="9" t="s">
        <v>25</v>
      </c>
      <c r="H168" s="16">
        <v>4</v>
      </c>
      <c r="I168" s="17">
        <v>75</v>
      </c>
      <c r="J168" s="18">
        <v>0.1</v>
      </c>
      <c r="K168" s="17">
        <v>270</v>
      </c>
      <c r="L168" s="17">
        <v>160</v>
      </c>
      <c r="M168" s="17">
        <v>110</v>
      </c>
      <c r="N168" s="18">
        <v>0.40739999999999998</v>
      </c>
    </row>
    <row r="169" spans="1:14" ht="14.5" x14ac:dyDescent="0.35">
      <c r="A169" s="9" t="s">
        <v>324</v>
      </c>
      <c r="B169" s="15">
        <v>45786</v>
      </c>
      <c r="C169" s="9" t="s">
        <v>102</v>
      </c>
      <c r="D169" s="9" t="s">
        <v>52</v>
      </c>
      <c r="E169" s="9" t="s">
        <v>23</v>
      </c>
      <c r="F169" s="9" t="s">
        <v>18</v>
      </c>
      <c r="G169" s="9" t="s">
        <v>46</v>
      </c>
      <c r="H169" s="16">
        <v>9</v>
      </c>
      <c r="I169" s="17">
        <v>35</v>
      </c>
      <c r="J169" s="18">
        <v>0.02</v>
      </c>
      <c r="K169" s="17">
        <v>308.7</v>
      </c>
      <c r="L169" s="17">
        <v>162</v>
      </c>
      <c r="M169" s="17">
        <v>146.69999999999999</v>
      </c>
      <c r="N169" s="18">
        <v>0.47520000000000001</v>
      </c>
    </row>
    <row r="170" spans="1:14" ht="14.5" x14ac:dyDescent="0.35">
      <c r="A170" s="9" t="s">
        <v>325</v>
      </c>
      <c r="B170" s="15">
        <v>45789</v>
      </c>
      <c r="C170" s="9" t="s">
        <v>253</v>
      </c>
      <c r="D170" s="9" t="s">
        <v>142</v>
      </c>
      <c r="E170" s="9" t="s">
        <v>29</v>
      </c>
      <c r="F170" s="9" t="s">
        <v>18</v>
      </c>
      <c r="G170" s="9" t="s">
        <v>25</v>
      </c>
      <c r="H170" s="16">
        <v>1</v>
      </c>
      <c r="I170" s="17">
        <v>280</v>
      </c>
      <c r="J170" s="18">
        <v>0.05</v>
      </c>
      <c r="K170" s="17">
        <v>266</v>
      </c>
      <c r="L170" s="17">
        <v>170</v>
      </c>
      <c r="M170" s="17">
        <v>96</v>
      </c>
      <c r="N170" s="18">
        <v>0.3609</v>
      </c>
    </row>
    <row r="171" spans="1:14" ht="14.5" x14ac:dyDescent="0.35">
      <c r="A171" s="9" t="s">
        <v>326</v>
      </c>
      <c r="B171" s="15">
        <v>45790</v>
      </c>
      <c r="C171" s="9" t="s">
        <v>40</v>
      </c>
      <c r="D171" s="9" t="s">
        <v>28</v>
      </c>
      <c r="E171" s="9" t="s">
        <v>29</v>
      </c>
      <c r="F171" s="9" t="s">
        <v>30</v>
      </c>
      <c r="G171" s="9" t="s">
        <v>53</v>
      </c>
      <c r="H171" s="16">
        <v>8</v>
      </c>
      <c r="I171" s="17">
        <v>850</v>
      </c>
      <c r="J171" s="18">
        <v>0.05</v>
      </c>
      <c r="K171" s="17">
        <v>6460</v>
      </c>
      <c r="L171" s="17">
        <v>4160</v>
      </c>
      <c r="M171" s="17">
        <v>2300</v>
      </c>
      <c r="N171" s="18">
        <v>0.35599999999999998</v>
      </c>
    </row>
    <row r="172" spans="1:14" ht="14.5" x14ac:dyDescent="0.35">
      <c r="A172" s="9" t="s">
        <v>327</v>
      </c>
      <c r="B172" s="15">
        <v>45790</v>
      </c>
      <c r="C172" s="9" t="s">
        <v>328</v>
      </c>
      <c r="D172" s="9" t="s">
        <v>43</v>
      </c>
      <c r="E172" s="9" t="s">
        <v>23</v>
      </c>
      <c r="F172" s="9" t="s">
        <v>30</v>
      </c>
      <c r="G172" s="9" t="s">
        <v>25</v>
      </c>
      <c r="H172" s="16">
        <v>4</v>
      </c>
      <c r="I172" s="17">
        <v>75</v>
      </c>
      <c r="J172" s="18">
        <v>0</v>
      </c>
      <c r="K172" s="17">
        <v>300</v>
      </c>
      <c r="L172" s="17">
        <v>160</v>
      </c>
      <c r="M172" s="17">
        <v>140</v>
      </c>
      <c r="N172" s="18">
        <v>0.4667</v>
      </c>
    </row>
    <row r="173" spans="1:14" ht="14.5" x14ac:dyDescent="0.35">
      <c r="A173" s="9" t="s">
        <v>329</v>
      </c>
      <c r="B173" s="15">
        <v>45790</v>
      </c>
      <c r="C173" s="9" t="s">
        <v>330</v>
      </c>
      <c r="D173" s="9" t="s">
        <v>142</v>
      </c>
      <c r="E173" s="9" t="s">
        <v>29</v>
      </c>
      <c r="F173" s="9" t="s">
        <v>24</v>
      </c>
      <c r="G173" s="9" t="s">
        <v>49</v>
      </c>
      <c r="H173" s="16">
        <v>1</v>
      </c>
      <c r="I173" s="17">
        <v>280</v>
      </c>
      <c r="J173" s="18">
        <v>0.05</v>
      </c>
      <c r="K173" s="17">
        <v>266</v>
      </c>
      <c r="L173" s="17">
        <v>170</v>
      </c>
      <c r="M173" s="17">
        <v>96</v>
      </c>
      <c r="N173" s="18">
        <v>0.3609</v>
      </c>
    </row>
    <row r="174" spans="1:14" ht="14.5" x14ac:dyDescent="0.35">
      <c r="A174" s="9" t="s">
        <v>331</v>
      </c>
      <c r="B174" s="15">
        <v>45791</v>
      </c>
      <c r="C174" s="9" t="s">
        <v>332</v>
      </c>
      <c r="D174" s="9" t="s">
        <v>43</v>
      </c>
      <c r="E174" s="9" t="s">
        <v>23</v>
      </c>
      <c r="F174" s="9" t="s">
        <v>30</v>
      </c>
      <c r="G174" s="9" t="s">
        <v>49</v>
      </c>
      <c r="H174" s="16">
        <v>7</v>
      </c>
      <c r="I174" s="17">
        <v>75</v>
      </c>
      <c r="J174" s="18">
        <v>0.1</v>
      </c>
      <c r="K174" s="17">
        <v>472.5</v>
      </c>
      <c r="L174" s="17">
        <v>280</v>
      </c>
      <c r="M174" s="17">
        <v>192.5</v>
      </c>
      <c r="N174" s="18">
        <v>0.40739999999999998</v>
      </c>
    </row>
    <row r="175" spans="1:14" ht="14.5" x14ac:dyDescent="0.35">
      <c r="A175" s="9" t="s">
        <v>333</v>
      </c>
      <c r="B175" s="15">
        <v>45793</v>
      </c>
      <c r="C175" s="9" t="s">
        <v>334</v>
      </c>
      <c r="D175" s="9" t="s">
        <v>43</v>
      </c>
      <c r="E175" s="9" t="s">
        <v>23</v>
      </c>
      <c r="F175" s="9" t="s">
        <v>18</v>
      </c>
      <c r="G175" s="9" t="s">
        <v>35</v>
      </c>
      <c r="H175" s="16">
        <v>6</v>
      </c>
      <c r="I175" s="17">
        <v>75</v>
      </c>
      <c r="J175" s="18">
        <v>0.05</v>
      </c>
      <c r="K175" s="17">
        <v>427.5</v>
      </c>
      <c r="L175" s="17">
        <v>240</v>
      </c>
      <c r="M175" s="17">
        <v>187.5</v>
      </c>
      <c r="N175" s="18">
        <v>0.43859999999999999</v>
      </c>
    </row>
    <row r="176" spans="1:14" ht="14.5" x14ac:dyDescent="0.35">
      <c r="A176" s="9" t="s">
        <v>335</v>
      </c>
      <c r="B176" s="15">
        <v>45793</v>
      </c>
      <c r="C176" s="9" t="s">
        <v>336</v>
      </c>
      <c r="D176" s="9" t="s">
        <v>22</v>
      </c>
      <c r="E176" s="9" t="s">
        <v>23</v>
      </c>
      <c r="F176" s="9" t="s">
        <v>30</v>
      </c>
      <c r="G176" s="9" t="s">
        <v>46</v>
      </c>
      <c r="H176" s="16">
        <v>9</v>
      </c>
      <c r="I176" s="17">
        <v>65</v>
      </c>
      <c r="J176" s="18">
        <v>0.05</v>
      </c>
      <c r="K176" s="17">
        <v>555.75</v>
      </c>
      <c r="L176" s="17">
        <v>315</v>
      </c>
      <c r="M176" s="17">
        <v>240.75</v>
      </c>
      <c r="N176" s="18">
        <v>0.43319999999999997</v>
      </c>
    </row>
    <row r="177" spans="1:14" ht="14.5" x14ac:dyDescent="0.35">
      <c r="A177" s="9" t="s">
        <v>337</v>
      </c>
      <c r="B177" s="15">
        <v>45795</v>
      </c>
      <c r="C177" s="9" t="s">
        <v>338</v>
      </c>
      <c r="D177" s="9" t="s">
        <v>33</v>
      </c>
      <c r="E177" s="9" t="s">
        <v>34</v>
      </c>
      <c r="F177" s="9" t="s">
        <v>30</v>
      </c>
      <c r="G177" s="9" t="s">
        <v>19</v>
      </c>
      <c r="H177" s="16">
        <v>5</v>
      </c>
      <c r="I177" s="17">
        <v>320</v>
      </c>
      <c r="J177" s="18">
        <v>0</v>
      </c>
      <c r="K177" s="17">
        <v>1600</v>
      </c>
      <c r="L177" s="17">
        <v>975</v>
      </c>
      <c r="M177" s="17">
        <v>625</v>
      </c>
      <c r="N177" s="18">
        <v>0.3906</v>
      </c>
    </row>
    <row r="178" spans="1:14" ht="14.5" x14ac:dyDescent="0.35">
      <c r="A178" s="9" t="s">
        <v>339</v>
      </c>
      <c r="B178" s="15">
        <v>45798</v>
      </c>
      <c r="C178" s="9" t="s">
        <v>340</v>
      </c>
      <c r="D178" s="9" t="s">
        <v>33</v>
      </c>
      <c r="E178" s="9" t="s">
        <v>34</v>
      </c>
      <c r="F178" s="9" t="s">
        <v>24</v>
      </c>
      <c r="G178" s="9" t="s">
        <v>19</v>
      </c>
      <c r="H178" s="16">
        <v>6</v>
      </c>
      <c r="I178" s="17">
        <v>320</v>
      </c>
      <c r="J178" s="18">
        <v>0</v>
      </c>
      <c r="K178" s="17">
        <v>1920</v>
      </c>
      <c r="L178" s="17">
        <v>1170</v>
      </c>
      <c r="M178" s="17">
        <v>750</v>
      </c>
      <c r="N178" s="18">
        <v>0.3906</v>
      </c>
    </row>
    <row r="179" spans="1:14" ht="14.5" x14ac:dyDescent="0.35">
      <c r="A179" s="9" t="s">
        <v>341</v>
      </c>
      <c r="B179" s="15">
        <v>45798</v>
      </c>
      <c r="C179" s="9" t="s">
        <v>310</v>
      </c>
      <c r="D179" s="9" t="s">
        <v>142</v>
      </c>
      <c r="E179" s="9" t="s">
        <v>29</v>
      </c>
      <c r="F179" s="9" t="s">
        <v>18</v>
      </c>
      <c r="G179" s="9" t="s">
        <v>19</v>
      </c>
      <c r="H179" s="16">
        <v>2</v>
      </c>
      <c r="I179" s="17">
        <v>280</v>
      </c>
      <c r="J179" s="18">
        <v>0.05</v>
      </c>
      <c r="K179" s="17">
        <v>532</v>
      </c>
      <c r="L179" s="17">
        <v>340</v>
      </c>
      <c r="M179" s="17">
        <v>192</v>
      </c>
      <c r="N179" s="18">
        <v>0.3609</v>
      </c>
    </row>
    <row r="180" spans="1:14" ht="14.5" x14ac:dyDescent="0.35">
      <c r="A180" s="9" t="s">
        <v>342</v>
      </c>
      <c r="B180" s="15">
        <v>45799</v>
      </c>
      <c r="C180" s="9" t="s">
        <v>343</v>
      </c>
      <c r="D180" s="9" t="s">
        <v>22</v>
      </c>
      <c r="E180" s="9" t="s">
        <v>23</v>
      </c>
      <c r="F180" s="9" t="s">
        <v>38</v>
      </c>
      <c r="G180" s="9" t="s">
        <v>25</v>
      </c>
      <c r="H180" s="16">
        <v>1</v>
      </c>
      <c r="I180" s="17">
        <v>65</v>
      </c>
      <c r="J180" s="18">
        <v>0.02</v>
      </c>
      <c r="K180" s="17">
        <v>63.7</v>
      </c>
      <c r="L180" s="17">
        <v>35</v>
      </c>
      <c r="M180" s="17">
        <v>28.7</v>
      </c>
      <c r="N180" s="18">
        <v>0.45050000000000001</v>
      </c>
    </row>
    <row r="181" spans="1:14" ht="14.5" x14ac:dyDescent="0.35">
      <c r="A181" s="9" t="s">
        <v>344</v>
      </c>
      <c r="B181" s="15">
        <v>45800</v>
      </c>
      <c r="C181" s="9" t="s">
        <v>205</v>
      </c>
      <c r="D181" s="9" t="s">
        <v>16</v>
      </c>
      <c r="E181" s="9" t="s">
        <v>17</v>
      </c>
      <c r="F181" s="9" t="s">
        <v>24</v>
      </c>
      <c r="G181" s="9" t="s">
        <v>46</v>
      </c>
      <c r="H181" s="16">
        <v>8</v>
      </c>
      <c r="I181" s="17">
        <v>210</v>
      </c>
      <c r="J181" s="18">
        <v>0.02</v>
      </c>
      <c r="K181" s="17">
        <v>1646.4</v>
      </c>
      <c r="L181" s="17">
        <v>1000</v>
      </c>
      <c r="M181" s="17">
        <v>646.4</v>
      </c>
      <c r="N181" s="18">
        <v>0.3926</v>
      </c>
    </row>
    <row r="182" spans="1:14" ht="14.5" x14ac:dyDescent="0.35">
      <c r="A182" s="9" t="s">
        <v>345</v>
      </c>
      <c r="B182" s="15">
        <v>45800</v>
      </c>
      <c r="C182" s="9" t="s">
        <v>346</v>
      </c>
      <c r="D182" s="9" t="s">
        <v>28</v>
      </c>
      <c r="E182" s="9" t="s">
        <v>29</v>
      </c>
      <c r="F182" s="9" t="s">
        <v>24</v>
      </c>
      <c r="G182" s="9" t="s">
        <v>53</v>
      </c>
      <c r="H182" s="16">
        <v>1</v>
      </c>
      <c r="I182" s="17">
        <v>850</v>
      </c>
      <c r="J182" s="18">
        <v>0</v>
      </c>
      <c r="K182" s="17">
        <v>850</v>
      </c>
      <c r="L182" s="17">
        <v>520</v>
      </c>
      <c r="M182" s="17">
        <v>330</v>
      </c>
      <c r="N182" s="18">
        <v>0.38819999999999999</v>
      </c>
    </row>
    <row r="183" spans="1:14" ht="14.5" x14ac:dyDescent="0.35">
      <c r="A183" s="9" t="s">
        <v>347</v>
      </c>
      <c r="B183" s="15">
        <v>45801</v>
      </c>
      <c r="C183" s="9" t="s">
        <v>157</v>
      </c>
      <c r="D183" s="9" t="s">
        <v>52</v>
      </c>
      <c r="E183" s="9" t="s">
        <v>23</v>
      </c>
      <c r="F183" s="9" t="s">
        <v>18</v>
      </c>
      <c r="G183" s="9" t="s">
        <v>49</v>
      </c>
      <c r="H183" s="16">
        <v>6</v>
      </c>
      <c r="I183" s="17">
        <v>35</v>
      </c>
      <c r="J183" s="18">
        <v>0.05</v>
      </c>
      <c r="K183" s="17">
        <v>199.5</v>
      </c>
      <c r="L183" s="17">
        <v>108</v>
      </c>
      <c r="M183" s="17">
        <v>91.5</v>
      </c>
      <c r="N183" s="18">
        <v>0.45860000000000001</v>
      </c>
    </row>
    <row r="184" spans="1:14" ht="14.5" x14ac:dyDescent="0.35">
      <c r="A184" s="9" t="s">
        <v>348</v>
      </c>
      <c r="B184" s="15">
        <v>45801</v>
      </c>
      <c r="C184" s="9" t="s">
        <v>349</v>
      </c>
      <c r="D184" s="9" t="s">
        <v>43</v>
      </c>
      <c r="E184" s="9" t="s">
        <v>23</v>
      </c>
      <c r="F184" s="9" t="s">
        <v>24</v>
      </c>
      <c r="G184" s="9" t="s">
        <v>25</v>
      </c>
      <c r="H184" s="16">
        <v>4</v>
      </c>
      <c r="I184" s="17">
        <v>75</v>
      </c>
      <c r="J184" s="18">
        <v>0.1</v>
      </c>
      <c r="K184" s="17">
        <v>270</v>
      </c>
      <c r="L184" s="17">
        <v>160</v>
      </c>
      <c r="M184" s="17">
        <v>110</v>
      </c>
      <c r="N184" s="18">
        <v>0.40739999999999998</v>
      </c>
    </row>
    <row r="185" spans="1:14" ht="14.5" x14ac:dyDescent="0.35">
      <c r="A185" s="9" t="s">
        <v>350</v>
      </c>
      <c r="B185" s="15">
        <v>45801</v>
      </c>
      <c r="C185" s="9" t="s">
        <v>351</v>
      </c>
      <c r="D185" s="9" t="s">
        <v>52</v>
      </c>
      <c r="E185" s="9" t="s">
        <v>23</v>
      </c>
      <c r="F185" s="9" t="s">
        <v>24</v>
      </c>
      <c r="G185" s="9" t="s">
        <v>25</v>
      </c>
      <c r="H185" s="16">
        <v>7</v>
      </c>
      <c r="I185" s="17">
        <v>35</v>
      </c>
      <c r="J185" s="18">
        <v>0.15</v>
      </c>
      <c r="K185" s="17">
        <v>208.25</v>
      </c>
      <c r="L185" s="17">
        <v>126</v>
      </c>
      <c r="M185" s="17">
        <v>82.25</v>
      </c>
      <c r="N185" s="18">
        <v>0.39500000000000002</v>
      </c>
    </row>
    <row r="186" spans="1:14" ht="14.5" x14ac:dyDescent="0.35">
      <c r="A186" s="9" t="s">
        <v>352</v>
      </c>
      <c r="B186" s="15">
        <v>45801</v>
      </c>
      <c r="C186" s="9" t="s">
        <v>353</v>
      </c>
      <c r="D186" s="9" t="s">
        <v>33</v>
      </c>
      <c r="E186" s="9" t="s">
        <v>34</v>
      </c>
      <c r="F186" s="9" t="s">
        <v>38</v>
      </c>
      <c r="G186" s="9" t="s">
        <v>35</v>
      </c>
      <c r="H186" s="16">
        <v>1</v>
      </c>
      <c r="I186" s="17">
        <v>320</v>
      </c>
      <c r="J186" s="18">
        <v>0.15</v>
      </c>
      <c r="K186" s="17">
        <v>272</v>
      </c>
      <c r="L186" s="17">
        <v>195</v>
      </c>
      <c r="M186" s="17">
        <v>77</v>
      </c>
      <c r="N186" s="18">
        <v>0.28310000000000002</v>
      </c>
    </row>
    <row r="187" spans="1:14" ht="14.5" x14ac:dyDescent="0.35">
      <c r="A187" s="9" t="s">
        <v>354</v>
      </c>
      <c r="B187" s="15">
        <v>45801</v>
      </c>
      <c r="C187" s="9" t="s">
        <v>355</v>
      </c>
      <c r="D187" s="9" t="s">
        <v>33</v>
      </c>
      <c r="E187" s="9" t="s">
        <v>34</v>
      </c>
      <c r="F187" s="9" t="s">
        <v>30</v>
      </c>
      <c r="G187" s="9" t="s">
        <v>53</v>
      </c>
      <c r="H187" s="16">
        <v>1</v>
      </c>
      <c r="I187" s="17">
        <v>320</v>
      </c>
      <c r="J187" s="18">
        <v>0</v>
      </c>
      <c r="K187" s="17">
        <v>320</v>
      </c>
      <c r="L187" s="17">
        <v>195</v>
      </c>
      <c r="M187" s="17">
        <v>125</v>
      </c>
      <c r="N187" s="18">
        <v>0.3906</v>
      </c>
    </row>
    <row r="188" spans="1:14" ht="14.5" x14ac:dyDescent="0.35">
      <c r="A188" s="9" t="s">
        <v>356</v>
      </c>
      <c r="B188" s="15">
        <v>45802</v>
      </c>
      <c r="C188" s="9" t="s">
        <v>357</v>
      </c>
      <c r="D188" s="9" t="s">
        <v>22</v>
      </c>
      <c r="E188" s="9" t="s">
        <v>23</v>
      </c>
      <c r="F188" s="9" t="s">
        <v>30</v>
      </c>
      <c r="G188" s="9" t="s">
        <v>35</v>
      </c>
      <c r="H188" s="16">
        <v>2</v>
      </c>
      <c r="I188" s="17">
        <v>65</v>
      </c>
      <c r="J188" s="18">
        <v>0.05</v>
      </c>
      <c r="K188" s="17">
        <v>123.5</v>
      </c>
      <c r="L188" s="17">
        <v>70</v>
      </c>
      <c r="M188" s="17">
        <v>53.5</v>
      </c>
      <c r="N188" s="18">
        <v>0.43319999999999997</v>
      </c>
    </row>
    <row r="189" spans="1:14" ht="14.5" x14ac:dyDescent="0.35">
      <c r="A189" s="9" t="s">
        <v>358</v>
      </c>
      <c r="B189" s="15">
        <v>45802</v>
      </c>
      <c r="C189" s="9" t="s">
        <v>359</v>
      </c>
      <c r="D189" s="9" t="s">
        <v>52</v>
      </c>
      <c r="E189" s="9" t="s">
        <v>23</v>
      </c>
      <c r="F189" s="9" t="s">
        <v>18</v>
      </c>
      <c r="G189" s="9" t="s">
        <v>35</v>
      </c>
      <c r="H189" s="16">
        <v>9</v>
      </c>
      <c r="I189" s="17">
        <v>35</v>
      </c>
      <c r="J189" s="18">
        <v>0.02</v>
      </c>
      <c r="K189" s="17">
        <v>308.7</v>
      </c>
      <c r="L189" s="17">
        <v>162</v>
      </c>
      <c r="M189" s="17">
        <v>146.69999999999999</v>
      </c>
      <c r="N189" s="18">
        <v>0.47520000000000001</v>
      </c>
    </row>
    <row r="190" spans="1:14" ht="14.5" x14ac:dyDescent="0.35">
      <c r="A190" s="9" t="s">
        <v>360</v>
      </c>
      <c r="B190" s="15">
        <v>45802</v>
      </c>
      <c r="C190" s="9" t="s">
        <v>361</v>
      </c>
      <c r="D190" s="9" t="s">
        <v>142</v>
      </c>
      <c r="E190" s="9" t="s">
        <v>29</v>
      </c>
      <c r="F190" s="9" t="s">
        <v>38</v>
      </c>
      <c r="G190" s="9" t="s">
        <v>25</v>
      </c>
      <c r="H190" s="16">
        <v>3</v>
      </c>
      <c r="I190" s="17">
        <v>280</v>
      </c>
      <c r="J190" s="18">
        <v>0</v>
      </c>
      <c r="K190" s="17">
        <v>840</v>
      </c>
      <c r="L190" s="17">
        <v>510</v>
      </c>
      <c r="M190" s="17">
        <v>330</v>
      </c>
      <c r="N190" s="18">
        <v>0.39290000000000003</v>
      </c>
    </row>
    <row r="191" spans="1:14" ht="14.5" x14ac:dyDescent="0.35">
      <c r="A191" s="9" t="s">
        <v>362</v>
      </c>
      <c r="B191" s="15">
        <v>45802</v>
      </c>
      <c r="C191" s="9" t="s">
        <v>363</v>
      </c>
      <c r="D191" s="9" t="s">
        <v>33</v>
      </c>
      <c r="E191" s="9" t="s">
        <v>34</v>
      </c>
      <c r="F191" s="9" t="s">
        <v>24</v>
      </c>
      <c r="G191" s="9" t="s">
        <v>53</v>
      </c>
      <c r="H191" s="16">
        <v>9</v>
      </c>
      <c r="I191" s="17">
        <v>320</v>
      </c>
      <c r="J191" s="18">
        <v>0.02</v>
      </c>
      <c r="K191" s="17">
        <v>2822.4</v>
      </c>
      <c r="L191" s="17">
        <v>1755</v>
      </c>
      <c r="M191" s="17">
        <v>1067.4000000000001</v>
      </c>
      <c r="N191" s="18">
        <v>0.37819999999999998</v>
      </c>
    </row>
    <row r="192" spans="1:14" ht="14.5" x14ac:dyDescent="0.35">
      <c r="A192" s="9" t="s">
        <v>364</v>
      </c>
      <c r="B192" s="15">
        <v>45803</v>
      </c>
      <c r="C192" s="9" t="s">
        <v>64</v>
      </c>
      <c r="D192" s="9" t="s">
        <v>52</v>
      </c>
      <c r="E192" s="9" t="s">
        <v>23</v>
      </c>
      <c r="F192" s="9" t="s">
        <v>38</v>
      </c>
      <c r="G192" s="9" t="s">
        <v>25</v>
      </c>
      <c r="H192" s="16">
        <v>10</v>
      </c>
      <c r="I192" s="17">
        <v>35</v>
      </c>
      <c r="J192" s="18">
        <v>0</v>
      </c>
      <c r="K192" s="17">
        <v>350</v>
      </c>
      <c r="L192" s="17">
        <v>180</v>
      </c>
      <c r="M192" s="17">
        <v>170</v>
      </c>
      <c r="N192" s="18">
        <v>0.48570000000000002</v>
      </c>
    </row>
    <row r="193" spans="1:14" ht="14.5" x14ac:dyDescent="0.35">
      <c r="A193" s="9" t="s">
        <v>365</v>
      </c>
      <c r="B193" s="15">
        <v>45803</v>
      </c>
      <c r="C193" s="9" t="s">
        <v>144</v>
      </c>
      <c r="D193" s="9" t="s">
        <v>142</v>
      </c>
      <c r="E193" s="9" t="s">
        <v>29</v>
      </c>
      <c r="F193" s="9" t="s">
        <v>38</v>
      </c>
      <c r="G193" s="9" t="s">
        <v>49</v>
      </c>
      <c r="H193" s="16">
        <v>3</v>
      </c>
      <c r="I193" s="17">
        <v>280</v>
      </c>
      <c r="J193" s="18">
        <v>0</v>
      </c>
      <c r="K193" s="17">
        <v>840</v>
      </c>
      <c r="L193" s="17">
        <v>510</v>
      </c>
      <c r="M193" s="17">
        <v>330</v>
      </c>
      <c r="N193" s="18">
        <v>0.39290000000000003</v>
      </c>
    </row>
    <row r="194" spans="1:14" ht="14.5" x14ac:dyDescent="0.35">
      <c r="A194" s="9" t="s">
        <v>366</v>
      </c>
      <c r="B194" s="15">
        <v>45804</v>
      </c>
      <c r="C194" s="9" t="s">
        <v>367</v>
      </c>
      <c r="D194" s="9" t="s">
        <v>16</v>
      </c>
      <c r="E194" s="9" t="s">
        <v>17</v>
      </c>
      <c r="F194" s="9" t="s">
        <v>30</v>
      </c>
      <c r="G194" s="9" t="s">
        <v>53</v>
      </c>
      <c r="H194" s="16">
        <v>5</v>
      </c>
      <c r="I194" s="17">
        <v>210</v>
      </c>
      <c r="J194" s="18">
        <v>0.05</v>
      </c>
      <c r="K194" s="17">
        <v>997.5</v>
      </c>
      <c r="L194" s="17">
        <v>625</v>
      </c>
      <c r="M194" s="17">
        <v>372.5</v>
      </c>
      <c r="N194" s="18">
        <v>0.37340000000000001</v>
      </c>
    </row>
    <row r="195" spans="1:14" ht="14.5" x14ac:dyDescent="0.35">
      <c r="A195" s="9" t="s">
        <v>368</v>
      </c>
      <c r="B195" s="15">
        <v>45804</v>
      </c>
      <c r="C195" s="9" t="s">
        <v>351</v>
      </c>
      <c r="D195" s="9" t="s">
        <v>22</v>
      </c>
      <c r="E195" s="9" t="s">
        <v>23</v>
      </c>
      <c r="F195" s="9" t="s">
        <v>38</v>
      </c>
      <c r="G195" s="9" t="s">
        <v>25</v>
      </c>
      <c r="H195" s="16">
        <v>4</v>
      </c>
      <c r="I195" s="17">
        <v>65</v>
      </c>
      <c r="J195" s="18">
        <v>0.05</v>
      </c>
      <c r="K195" s="17">
        <v>247</v>
      </c>
      <c r="L195" s="17">
        <v>140</v>
      </c>
      <c r="M195" s="17">
        <v>107</v>
      </c>
      <c r="N195" s="18">
        <v>0.43319999999999997</v>
      </c>
    </row>
    <row r="196" spans="1:14" ht="14.5" x14ac:dyDescent="0.35">
      <c r="A196" s="9" t="s">
        <v>369</v>
      </c>
      <c r="B196" s="15">
        <v>45804</v>
      </c>
      <c r="C196" s="9" t="s">
        <v>330</v>
      </c>
      <c r="D196" s="9" t="s">
        <v>33</v>
      </c>
      <c r="E196" s="9" t="s">
        <v>34</v>
      </c>
      <c r="F196" s="9" t="s">
        <v>38</v>
      </c>
      <c r="G196" s="9" t="s">
        <v>35</v>
      </c>
      <c r="H196" s="16">
        <v>2</v>
      </c>
      <c r="I196" s="17">
        <v>320</v>
      </c>
      <c r="J196" s="18">
        <v>0.05</v>
      </c>
      <c r="K196" s="17">
        <v>608</v>
      </c>
      <c r="L196" s="17">
        <v>390</v>
      </c>
      <c r="M196" s="17">
        <v>218</v>
      </c>
      <c r="N196" s="18">
        <v>0.35859999999999997</v>
      </c>
    </row>
    <row r="197" spans="1:14" ht="14.5" x14ac:dyDescent="0.35">
      <c r="A197" s="9" t="s">
        <v>370</v>
      </c>
      <c r="B197" s="15">
        <v>45805</v>
      </c>
      <c r="C197" s="9" t="s">
        <v>196</v>
      </c>
      <c r="D197" s="9" t="s">
        <v>43</v>
      </c>
      <c r="E197" s="9" t="s">
        <v>23</v>
      </c>
      <c r="F197" s="9" t="s">
        <v>18</v>
      </c>
      <c r="G197" s="9" t="s">
        <v>19</v>
      </c>
      <c r="H197" s="16">
        <v>8</v>
      </c>
      <c r="I197" s="17">
        <v>75</v>
      </c>
      <c r="J197" s="18">
        <v>0.1</v>
      </c>
      <c r="K197" s="17">
        <v>540</v>
      </c>
      <c r="L197" s="17">
        <v>320</v>
      </c>
      <c r="M197" s="17">
        <v>220</v>
      </c>
      <c r="N197" s="18">
        <v>0.40739999999999998</v>
      </c>
    </row>
    <row r="198" spans="1:14" ht="14.5" x14ac:dyDescent="0.35">
      <c r="A198" s="9" t="s">
        <v>371</v>
      </c>
      <c r="B198" s="15">
        <v>45806</v>
      </c>
      <c r="C198" s="9" t="s">
        <v>253</v>
      </c>
      <c r="D198" s="9" t="s">
        <v>22</v>
      </c>
      <c r="E198" s="9" t="s">
        <v>23</v>
      </c>
      <c r="F198" s="9" t="s">
        <v>30</v>
      </c>
      <c r="G198" s="9" t="s">
        <v>25</v>
      </c>
      <c r="H198" s="16">
        <v>5</v>
      </c>
      <c r="I198" s="17">
        <v>65</v>
      </c>
      <c r="J198" s="18">
        <v>0.1</v>
      </c>
      <c r="K198" s="17">
        <v>292.5</v>
      </c>
      <c r="L198" s="17">
        <v>175</v>
      </c>
      <c r="M198" s="17">
        <v>117.5</v>
      </c>
      <c r="N198" s="18">
        <v>0.4017</v>
      </c>
    </row>
    <row r="199" spans="1:14" ht="14.5" x14ac:dyDescent="0.35">
      <c r="A199" s="9" t="s">
        <v>372</v>
      </c>
      <c r="B199" s="15">
        <v>45807</v>
      </c>
      <c r="C199" s="9" t="s">
        <v>332</v>
      </c>
      <c r="D199" s="9" t="s">
        <v>16</v>
      </c>
      <c r="E199" s="9" t="s">
        <v>17</v>
      </c>
      <c r="F199" s="9" t="s">
        <v>18</v>
      </c>
      <c r="G199" s="9" t="s">
        <v>49</v>
      </c>
      <c r="H199" s="16">
        <v>3</v>
      </c>
      <c r="I199" s="17">
        <v>210</v>
      </c>
      <c r="J199" s="18">
        <v>0.05</v>
      </c>
      <c r="K199" s="17">
        <v>598.5</v>
      </c>
      <c r="L199" s="17">
        <v>375</v>
      </c>
      <c r="M199" s="17">
        <v>223.5</v>
      </c>
      <c r="N199" s="18">
        <v>0.37340000000000001</v>
      </c>
    </row>
    <row r="200" spans="1:14" ht="14.5" x14ac:dyDescent="0.35">
      <c r="A200" s="9" t="s">
        <v>373</v>
      </c>
      <c r="B200" s="15">
        <v>45808</v>
      </c>
      <c r="C200" s="9" t="s">
        <v>374</v>
      </c>
      <c r="D200" s="9" t="s">
        <v>43</v>
      </c>
      <c r="E200" s="9" t="s">
        <v>23</v>
      </c>
      <c r="F200" s="9" t="s">
        <v>18</v>
      </c>
      <c r="G200" s="9" t="s">
        <v>35</v>
      </c>
      <c r="H200" s="16">
        <v>3</v>
      </c>
      <c r="I200" s="17">
        <v>75</v>
      </c>
      <c r="J200" s="18">
        <v>0.1</v>
      </c>
      <c r="K200" s="17">
        <v>202.5</v>
      </c>
      <c r="L200" s="17">
        <v>120</v>
      </c>
      <c r="M200" s="17">
        <v>82.5</v>
      </c>
      <c r="N200" s="18">
        <v>0.40739999999999998</v>
      </c>
    </row>
    <row r="201" spans="1:14" ht="14.5" x14ac:dyDescent="0.35">
      <c r="A201" s="9" t="s">
        <v>375</v>
      </c>
      <c r="B201" s="15">
        <v>45808</v>
      </c>
      <c r="C201" s="9" t="s">
        <v>376</v>
      </c>
      <c r="D201" s="9" t="s">
        <v>16</v>
      </c>
      <c r="E201" s="9" t="s">
        <v>17</v>
      </c>
      <c r="F201" s="9" t="s">
        <v>30</v>
      </c>
      <c r="G201" s="9" t="s">
        <v>25</v>
      </c>
      <c r="H201" s="16">
        <v>2</v>
      </c>
      <c r="I201" s="17">
        <v>210</v>
      </c>
      <c r="J201" s="18">
        <v>0.1</v>
      </c>
      <c r="K201" s="17">
        <v>378</v>
      </c>
      <c r="L201" s="17">
        <v>250</v>
      </c>
      <c r="M201" s="17">
        <v>128</v>
      </c>
      <c r="N201" s="18">
        <v>0.33860000000000001</v>
      </c>
    </row>
    <row r="202" spans="1:14" ht="14.5" x14ac:dyDescent="0.35">
      <c r="A202" s="9" t="s">
        <v>377</v>
      </c>
      <c r="B202" s="15">
        <v>45808</v>
      </c>
      <c r="C202" s="9" t="s">
        <v>378</v>
      </c>
      <c r="D202" s="9" t="s">
        <v>33</v>
      </c>
      <c r="E202" s="9" t="s">
        <v>34</v>
      </c>
      <c r="F202" s="9" t="s">
        <v>24</v>
      </c>
      <c r="G202" s="9" t="s">
        <v>53</v>
      </c>
      <c r="H202" s="16">
        <v>6</v>
      </c>
      <c r="I202" s="17">
        <v>320</v>
      </c>
      <c r="J202" s="18">
        <v>0</v>
      </c>
      <c r="K202" s="17">
        <v>1920</v>
      </c>
      <c r="L202" s="17">
        <v>1170</v>
      </c>
      <c r="M202" s="17">
        <v>750</v>
      </c>
      <c r="N202" s="18">
        <v>0.3906</v>
      </c>
    </row>
    <row r="203" spans="1:14" ht="14.5" x14ac:dyDescent="0.35">
      <c r="A203" s="9" t="s">
        <v>379</v>
      </c>
      <c r="B203" s="15">
        <v>45808</v>
      </c>
      <c r="C203" s="9" t="s">
        <v>380</v>
      </c>
      <c r="D203" s="9" t="s">
        <v>28</v>
      </c>
      <c r="E203" s="9" t="s">
        <v>29</v>
      </c>
      <c r="F203" s="9" t="s">
        <v>30</v>
      </c>
      <c r="G203" s="9" t="s">
        <v>49</v>
      </c>
      <c r="H203" s="16">
        <v>5</v>
      </c>
      <c r="I203" s="17">
        <v>850</v>
      </c>
      <c r="J203" s="18">
        <v>0.05</v>
      </c>
      <c r="K203" s="17">
        <v>4037.5</v>
      </c>
      <c r="L203" s="17">
        <v>2600</v>
      </c>
      <c r="M203" s="17">
        <v>1437.5</v>
      </c>
      <c r="N203" s="18">
        <v>0.35599999999999998</v>
      </c>
    </row>
    <row r="204" spans="1:14" ht="14.5" x14ac:dyDescent="0.35">
      <c r="A204" s="9" t="s">
        <v>381</v>
      </c>
      <c r="B204" s="15">
        <v>45809</v>
      </c>
      <c r="C204" s="9" t="s">
        <v>123</v>
      </c>
      <c r="D204" s="9" t="s">
        <v>28</v>
      </c>
      <c r="E204" s="9" t="s">
        <v>29</v>
      </c>
      <c r="F204" s="9" t="s">
        <v>24</v>
      </c>
      <c r="G204" s="9" t="s">
        <v>46</v>
      </c>
      <c r="H204" s="16">
        <v>9</v>
      </c>
      <c r="I204" s="17">
        <v>850</v>
      </c>
      <c r="J204" s="18">
        <v>0.02</v>
      </c>
      <c r="K204" s="17">
        <v>7497</v>
      </c>
      <c r="L204" s="17">
        <v>4680</v>
      </c>
      <c r="M204" s="17">
        <v>2817</v>
      </c>
      <c r="N204" s="18">
        <v>0.37580000000000002</v>
      </c>
    </row>
    <row r="205" spans="1:14" ht="14.5" x14ac:dyDescent="0.35">
      <c r="A205" s="9" t="s">
        <v>382</v>
      </c>
      <c r="B205" s="15">
        <v>45809</v>
      </c>
      <c r="C205" s="9" t="s">
        <v>383</v>
      </c>
      <c r="D205" s="9" t="s">
        <v>43</v>
      </c>
      <c r="E205" s="9" t="s">
        <v>23</v>
      </c>
      <c r="F205" s="9" t="s">
        <v>24</v>
      </c>
      <c r="G205" s="9" t="s">
        <v>53</v>
      </c>
      <c r="H205" s="16">
        <v>4</v>
      </c>
      <c r="I205" s="17">
        <v>75</v>
      </c>
      <c r="J205" s="18">
        <v>0.02</v>
      </c>
      <c r="K205" s="17">
        <v>294</v>
      </c>
      <c r="L205" s="17">
        <v>160</v>
      </c>
      <c r="M205" s="17">
        <v>134</v>
      </c>
      <c r="N205" s="18">
        <v>0.45579999999999998</v>
      </c>
    </row>
    <row r="206" spans="1:14" ht="14.5" x14ac:dyDescent="0.35">
      <c r="A206" s="9" t="s">
        <v>384</v>
      </c>
      <c r="B206" s="15">
        <v>45810</v>
      </c>
      <c r="C206" s="9" t="s">
        <v>332</v>
      </c>
      <c r="D206" s="9" t="s">
        <v>33</v>
      </c>
      <c r="E206" s="9" t="s">
        <v>34</v>
      </c>
      <c r="F206" s="9" t="s">
        <v>30</v>
      </c>
      <c r="G206" s="9" t="s">
        <v>19</v>
      </c>
      <c r="H206" s="16">
        <v>3</v>
      </c>
      <c r="I206" s="17">
        <v>320</v>
      </c>
      <c r="J206" s="18">
        <v>0.15</v>
      </c>
      <c r="K206" s="17">
        <v>816</v>
      </c>
      <c r="L206" s="17">
        <v>585</v>
      </c>
      <c r="M206" s="17">
        <v>231</v>
      </c>
      <c r="N206" s="18">
        <v>0.28310000000000002</v>
      </c>
    </row>
    <row r="207" spans="1:14" ht="14.5" x14ac:dyDescent="0.35">
      <c r="A207" s="9" t="s">
        <v>385</v>
      </c>
      <c r="B207" s="15">
        <v>45811</v>
      </c>
      <c r="C207" s="9" t="s">
        <v>139</v>
      </c>
      <c r="D207" s="9" t="s">
        <v>33</v>
      </c>
      <c r="E207" s="9" t="s">
        <v>34</v>
      </c>
      <c r="F207" s="9" t="s">
        <v>30</v>
      </c>
      <c r="G207" s="9" t="s">
        <v>35</v>
      </c>
      <c r="H207" s="16">
        <v>1</v>
      </c>
      <c r="I207" s="17">
        <v>320</v>
      </c>
      <c r="J207" s="18">
        <v>0</v>
      </c>
      <c r="K207" s="17">
        <v>320</v>
      </c>
      <c r="L207" s="17">
        <v>195</v>
      </c>
      <c r="M207" s="17">
        <v>125</v>
      </c>
      <c r="N207" s="18">
        <v>0.3906</v>
      </c>
    </row>
    <row r="208" spans="1:14" ht="14.5" x14ac:dyDescent="0.35">
      <c r="A208" s="9" t="s">
        <v>386</v>
      </c>
      <c r="B208" s="15">
        <v>45811</v>
      </c>
      <c r="C208" s="9" t="s">
        <v>387</v>
      </c>
      <c r="D208" s="9" t="s">
        <v>142</v>
      </c>
      <c r="E208" s="9" t="s">
        <v>29</v>
      </c>
      <c r="F208" s="9" t="s">
        <v>18</v>
      </c>
      <c r="G208" s="9" t="s">
        <v>19</v>
      </c>
      <c r="H208" s="16">
        <v>4</v>
      </c>
      <c r="I208" s="17">
        <v>280</v>
      </c>
      <c r="J208" s="18">
        <v>0</v>
      </c>
      <c r="K208" s="17">
        <v>1120</v>
      </c>
      <c r="L208" s="17">
        <v>680</v>
      </c>
      <c r="M208" s="17">
        <v>440</v>
      </c>
      <c r="N208" s="18">
        <v>0.39290000000000003</v>
      </c>
    </row>
    <row r="209" spans="1:14" ht="14.5" x14ac:dyDescent="0.35">
      <c r="A209" s="9" t="s">
        <v>388</v>
      </c>
      <c r="B209" s="15">
        <v>45812</v>
      </c>
      <c r="C209" s="9" t="s">
        <v>389</v>
      </c>
      <c r="D209" s="9" t="s">
        <v>33</v>
      </c>
      <c r="E209" s="9" t="s">
        <v>34</v>
      </c>
      <c r="F209" s="9" t="s">
        <v>24</v>
      </c>
      <c r="G209" s="9" t="s">
        <v>46</v>
      </c>
      <c r="H209" s="16">
        <v>7</v>
      </c>
      <c r="I209" s="17">
        <v>320</v>
      </c>
      <c r="J209" s="18">
        <v>0</v>
      </c>
      <c r="K209" s="17">
        <v>2240</v>
      </c>
      <c r="L209" s="17">
        <v>1365</v>
      </c>
      <c r="M209" s="17">
        <v>875</v>
      </c>
      <c r="N209" s="18">
        <v>0.3906</v>
      </c>
    </row>
    <row r="210" spans="1:14" ht="14.5" x14ac:dyDescent="0.35">
      <c r="A210" s="9" t="s">
        <v>390</v>
      </c>
      <c r="B210" s="15">
        <v>45812</v>
      </c>
      <c r="C210" s="9" t="s">
        <v>391</v>
      </c>
      <c r="D210" s="9" t="s">
        <v>60</v>
      </c>
      <c r="E210" s="9" t="s">
        <v>34</v>
      </c>
      <c r="F210" s="9" t="s">
        <v>30</v>
      </c>
      <c r="G210" s="9" t="s">
        <v>19</v>
      </c>
      <c r="H210" s="16">
        <v>7</v>
      </c>
      <c r="I210" s="17">
        <v>240</v>
      </c>
      <c r="J210" s="18">
        <v>0.15</v>
      </c>
      <c r="K210" s="17">
        <v>1428</v>
      </c>
      <c r="L210" s="17">
        <v>1015</v>
      </c>
      <c r="M210" s="17">
        <v>413</v>
      </c>
      <c r="N210" s="18">
        <v>0.28920000000000001</v>
      </c>
    </row>
    <row r="211" spans="1:14" ht="14.5" x14ac:dyDescent="0.35">
      <c r="A211" s="9" t="s">
        <v>392</v>
      </c>
      <c r="B211" s="15">
        <v>45813</v>
      </c>
      <c r="C211" s="9" t="s">
        <v>393</v>
      </c>
      <c r="D211" s="9" t="s">
        <v>22</v>
      </c>
      <c r="E211" s="9" t="s">
        <v>23</v>
      </c>
      <c r="F211" s="9" t="s">
        <v>38</v>
      </c>
      <c r="G211" s="9" t="s">
        <v>25</v>
      </c>
      <c r="H211" s="16">
        <v>10</v>
      </c>
      <c r="I211" s="17">
        <v>65</v>
      </c>
      <c r="J211" s="18">
        <v>0.05</v>
      </c>
      <c r="K211" s="17">
        <v>617.5</v>
      </c>
      <c r="L211" s="17">
        <v>350</v>
      </c>
      <c r="M211" s="17">
        <v>267.5</v>
      </c>
      <c r="N211" s="18">
        <v>0.43319999999999997</v>
      </c>
    </row>
    <row r="212" spans="1:14" ht="14.5" x14ac:dyDescent="0.35">
      <c r="A212" s="9" t="s">
        <v>394</v>
      </c>
      <c r="B212" s="15">
        <v>45815</v>
      </c>
      <c r="C212" s="9" t="s">
        <v>249</v>
      </c>
      <c r="D212" s="9" t="s">
        <v>43</v>
      </c>
      <c r="E212" s="9" t="s">
        <v>23</v>
      </c>
      <c r="F212" s="9" t="s">
        <v>38</v>
      </c>
      <c r="G212" s="9" t="s">
        <v>46</v>
      </c>
      <c r="H212" s="16">
        <v>5</v>
      </c>
      <c r="I212" s="17">
        <v>75</v>
      </c>
      <c r="J212" s="18">
        <v>0.05</v>
      </c>
      <c r="K212" s="17">
        <v>356.25</v>
      </c>
      <c r="L212" s="17">
        <v>200</v>
      </c>
      <c r="M212" s="17">
        <v>156.25</v>
      </c>
      <c r="N212" s="18">
        <v>0.43859999999999999</v>
      </c>
    </row>
    <row r="213" spans="1:14" ht="14.5" x14ac:dyDescent="0.35">
      <c r="A213" s="9" t="s">
        <v>395</v>
      </c>
      <c r="B213" s="15">
        <v>45817</v>
      </c>
      <c r="C213" s="9" t="s">
        <v>129</v>
      </c>
      <c r="D213" s="9" t="s">
        <v>16</v>
      </c>
      <c r="E213" s="9" t="s">
        <v>17</v>
      </c>
      <c r="F213" s="9" t="s">
        <v>24</v>
      </c>
      <c r="G213" s="9" t="s">
        <v>35</v>
      </c>
      <c r="H213" s="16">
        <v>6</v>
      </c>
      <c r="I213" s="17">
        <v>210</v>
      </c>
      <c r="J213" s="18">
        <v>0</v>
      </c>
      <c r="K213" s="17">
        <v>1260</v>
      </c>
      <c r="L213" s="17">
        <v>750</v>
      </c>
      <c r="M213" s="17">
        <v>510</v>
      </c>
      <c r="N213" s="18">
        <v>0.40479999999999999</v>
      </c>
    </row>
    <row r="214" spans="1:14" ht="14.5" x14ac:dyDescent="0.35">
      <c r="A214" s="9" t="s">
        <v>396</v>
      </c>
      <c r="B214" s="15">
        <v>45817</v>
      </c>
      <c r="C214" s="9" t="s">
        <v>187</v>
      </c>
      <c r="D214" s="9" t="s">
        <v>52</v>
      </c>
      <c r="E214" s="9" t="s">
        <v>23</v>
      </c>
      <c r="F214" s="9" t="s">
        <v>18</v>
      </c>
      <c r="G214" s="9" t="s">
        <v>35</v>
      </c>
      <c r="H214" s="16">
        <v>1</v>
      </c>
      <c r="I214" s="17">
        <v>35</v>
      </c>
      <c r="J214" s="18">
        <v>0.05</v>
      </c>
      <c r="K214" s="17">
        <v>33.25</v>
      </c>
      <c r="L214" s="17">
        <v>18</v>
      </c>
      <c r="M214" s="17">
        <v>15.25</v>
      </c>
      <c r="N214" s="18">
        <v>0.45860000000000001</v>
      </c>
    </row>
    <row r="215" spans="1:14" ht="14.5" x14ac:dyDescent="0.35">
      <c r="A215" s="9" t="s">
        <v>397</v>
      </c>
      <c r="B215" s="15">
        <v>45817</v>
      </c>
      <c r="C215" s="9" t="s">
        <v>398</v>
      </c>
      <c r="D215" s="9" t="s">
        <v>60</v>
      </c>
      <c r="E215" s="9" t="s">
        <v>34</v>
      </c>
      <c r="F215" s="9" t="s">
        <v>30</v>
      </c>
      <c r="G215" s="9" t="s">
        <v>19</v>
      </c>
      <c r="H215" s="16">
        <v>9</v>
      </c>
      <c r="I215" s="17">
        <v>240</v>
      </c>
      <c r="J215" s="18">
        <v>0.05</v>
      </c>
      <c r="K215" s="17">
        <v>2052</v>
      </c>
      <c r="L215" s="17">
        <v>1305</v>
      </c>
      <c r="M215" s="17">
        <v>747</v>
      </c>
      <c r="N215" s="18">
        <v>0.36399999999999999</v>
      </c>
    </row>
    <row r="216" spans="1:14" ht="14.5" x14ac:dyDescent="0.35">
      <c r="A216" s="9" t="s">
        <v>399</v>
      </c>
      <c r="B216" s="15">
        <v>45818</v>
      </c>
      <c r="C216" s="9" t="s">
        <v>400</v>
      </c>
      <c r="D216" s="9" t="s">
        <v>60</v>
      </c>
      <c r="E216" s="9" t="s">
        <v>34</v>
      </c>
      <c r="F216" s="9" t="s">
        <v>24</v>
      </c>
      <c r="G216" s="9" t="s">
        <v>46</v>
      </c>
      <c r="H216" s="16">
        <v>4</v>
      </c>
      <c r="I216" s="17">
        <v>240</v>
      </c>
      <c r="J216" s="18">
        <v>0.05</v>
      </c>
      <c r="K216" s="17">
        <v>912</v>
      </c>
      <c r="L216" s="17">
        <v>580</v>
      </c>
      <c r="M216" s="17">
        <v>332</v>
      </c>
      <c r="N216" s="18">
        <v>0.36399999999999999</v>
      </c>
    </row>
    <row r="217" spans="1:14" ht="14.5" x14ac:dyDescent="0.35">
      <c r="A217" s="9" t="s">
        <v>401</v>
      </c>
      <c r="B217" s="15">
        <v>45819</v>
      </c>
      <c r="C217" s="9" t="s">
        <v>402</v>
      </c>
      <c r="D217" s="9" t="s">
        <v>33</v>
      </c>
      <c r="E217" s="9" t="s">
        <v>34</v>
      </c>
      <c r="F217" s="9" t="s">
        <v>30</v>
      </c>
      <c r="G217" s="9" t="s">
        <v>35</v>
      </c>
      <c r="H217" s="16">
        <v>2</v>
      </c>
      <c r="I217" s="17">
        <v>320</v>
      </c>
      <c r="J217" s="18">
        <v>0.1</v>
      </c>
      <c r="K217" s="17">
        <v>576</v>
      </c>
      <c r="L217" s="17">
        <v>390</v>
      </c>
      <c r="M217" s="17">
        <v>186</v>
      </c>
      <c r="N217" s="18">
        <v>0.32290000000000002</v>
      </c>
    </row>
    <row r="218" spans="1:14" ht="14.5" x14ac:dyDescent="0.35">
      <c r="A218" s="9" t="s">
        <v>403</v>
      </c>
      <c r="B218" s="15">
        <v>45820</v>
      </c>
      <c r="C218" s="9" t="s">
        <v>404</v>
      </c>
      <c r="D218" s="9" t="s">
        <v>16</v>
      </c>
      <c r="E218" s="9" t="s">
        <v>17</v>
      </c>
      <c r="F218" s="9" t="s">
        <v>24</v>
      </c>
      <c r="G218" s="9" t="s">
        <v>53</v>
      </c>
      <c r="H218" s="16">
        <v>10</v>
      </c>
      <c r="I218" s="17">
        <v>210</v>
      </c>
      <c r="J218" s="18">
        <v>0.05</v>
      </c>
      <c r="K218" s="17">
        <v>1995</v>
      </c>
      <c r="L218" s="17">
        <v>1250</v>
      </c>
      <c r="M218" s="17">
        <v>745</v>
      </c>
      <c r="N218" s="18">
        <v>0.37340000000000001</v>
      </c>
    </row>
    <row r="219" spans="1:14" ht="14.5" x14ac:dyDescent="0.35">
      <c r="A219" s="9" t="s">
        <v>405</v>
      </c>
      <c r="B219" s="15">
        <v>45820</v>
      </c>
      <c r="C219" s="9" t="s">
        <v>406</v>
      </c>
      <c r="D219" s="9" t="s">
        <v>28</v>
      </c>
      <c r="E219" s="9" t="s">
        <v>29</v>
      </c>
      <c r="F219" s="9" t="s">
        <v>38</v>
      </c>
      <c r="G219" s="9" t="s">
        <v>35</v>
      </c>
      <c r="H219" s="16">
        <v>4</v>
      </c>
      <c r="I219" s="17">
        <v>850</v>
      </c>
      <c r="J219" s="18">
        <v>0.05</v>
      </c>
      <c r="K219" s="17">
        <v>3230</v>
      </c>
      <c r="L219" s="17">
        <v>2080</v>
      </c>
      <c r="M219" s="17">
        <v>1150</v>
      </c>
      <c r="N219" s="18">
        <v>0.35599999999999998</v>
      </c>
    </row>
    <row r="220" spans="1:14" ht="14.5" x14ac:dyDescent="0.35">
      <c r="A220" s="9" t="s">
        <v>407</v>
      </c>
      <c r="B220" s="15">
        <v>45821</v>
      </c>
      <c r="C220" s="9" t="s">
        <v>408</v>
      </c>
      <c r="D220" s="9" t="s">
        <v>16</v>
      </c>
      <c r="E220" s="9" t="s">
        <v>17</v>
      </c>
      <c r="F220" s="9" t="s">
        <v>38</v>
      </c>
      <c r="G220" s="9" t="s">
        <v>53</v>
      </c>
      <c r="H220" s="16">
        <v>2</v>
      </c>
      <c r="I220" s="17">
        <v>210</v>
      </c>
      <c r="J220" s="18">
        <v>0</v>
      </c>
      <c r="K220" s="17">
        <v>420</v>
      </c>
      <c r="L220" s="17">
        <v>250</v>
      </c>
      <c r="M220" s="17">
        <v>170</v>
      </c>
      <c r="N220" s="18">
        <v>0.40479999999999999</v>
      </c>
    </row>
    <row r="221" spans="1:14" ht="14.5" x14ac:dyDescent="0.35">
      <c r="A221" s="9" t="s">
        <v>409</v>
      </c>
      <c r="B221" s="15">
        <v>45821</v>
      </c>
      <c r="C221" s="9" t="s">
        <v>410</v>
      </c>
      <c r="D221" s="9" t="s">
        <v>52</v>
      </c>
      <c r="E221" s="9" t="s">
        <v>23</v>
      </c>
      <c r="F221" s="9" t="s">
        <v>30</v>
      </c>
      <c r="G221" s="9" t="s">
        <v>46</v>
      </c>
      <c r="H221" s="16">
        <v>10</v>
      </c>
      <c r="I221" s="17">
        <v>35</v>
      </c>
      <c r="J221" s="18">
        <v>0.1</v>
      </c>
      <c r="K221" s="17">
        <v>315</v>
      </c>
      <c r="L221" s="17">
        <v>180</v>
      </c>
      <c r="M221" s="17">
        <v>135</v>
      </c>
      <c r="N221" s="18">
        <v>0.42859999999999998</v>
      </c>
    </row>
    <row r="222" spans="1:14" ht="14.5" x14ac:dyDescent="0.35">
      <c r="A222" s="9" t="s">
        <v>411</v>
      </c>
      <c r="B222" s="15">
        <v>45821</v>
      </c>
      <c r="C222" s="9" t="s">
        <v>293</v>
      </c>
      <c r="D222" s="9" t="s">
        <v>22</v>
      </c>
      <c r="E222" s="9" t="s">
        <v>23</v>
      </c>
      <c r="F222" s="9" t="s">
        <v>38</v>
      </c>
      <c r="G222" s="9" t="s">
        <v>49</v>
      </c>
      <c r="H222" s="16">
        <v>9</v>
      </c>
      <c r="I222" s="17">
        <v>65</v>
      </c>
      <c r="J222" s="18">
        <v>0.05</v>
      </c>
      <c r="K222" s="17">
        <v>555.75</v>
      </c>
      <c r="L222" s="17">
        <v>315</v>
      </c>
      <c r="M222" s="17">
        <v>240.75</v>
      </c>
      <c r="N222" s="18">
        <v>0.43319999999999997</v>
      </c>
    </row>
    <row r="223" spans="1:14" ht="14.5" x14ac:dyDescent="0.35">
      <c r="A223" s="9" t="s">
        <v>412</v>
      </c>
      <c r="B223" s="15">
        <v>45822</v>
      </c>
      <c r="C223" s="9" t="s">
        <v>217</v>
      </c>
      <c r="D223" s="9" t="s">
        <v>22</v>
      </c>
      <c r="E223" s="9" t="s">
        <v>23</v>
      </c>
      <c r="F223" s="9" t="s">
        <v>38</v>
      </c>
      <c r="G223" s="9" t="s">
        <v>49</v>
      </c>
      <c r="H223" s="16">
        <v>8</v>
      </c>
      <c r="I223" s="17">
        <v>65</v>
      </c>
      <c r="J223" s="18">
        <v>0</v>
      </c>
      <c r="K223" s="17">
        <v>520</v>
      </c>
      <c r="L223" s="17">
        <v>280</v>
      </c>
      <c r="M223" s="17">
        <v>240</v>
      </c>
      <c r="N223" s="18">
        <v>0.46150000000000002</v>
      </c>
    </row>
    <row r="224" spans="1:14" ht="14.5" x14ac:dyDescent="0.35">
      <c r="A224" s="9" t="s">
        <v>413</v>
      </c>
      <c r="B224" s="15">
        <v>45822</v>
      </c>
      <c r="C224" s="9" t="s">
        <v>310</v>
      </c>
      <c r="D224" s="9" t="s">
        <v>28</v>
      </c>
      <c r="E224" s="9" t="s">
        <v>29</v>
      </c>
      <c r="F224" s="9" t="s">
        <v>24</v>
      </c>
      <c r="G224" s="9" t="s">
        <v>19</v>
      </c>
      <c r="H224" s="16">
        <v>7</v>
      </c>
      <c r="I224" s="17">
        <v>850</v>
      </c>
      <c r="J224" s="18">
        <v>0</v>
      </c>
      <c r="K224" s="17">
        <v>5950</v>
      </c>
      <c r="L224" s="17">
        <v>3640</v>
      </c>
      <c r="M224" s="17">
        <v>2310</v>
      </c>
      <c r="N224" s="18">
        <v>0.38819999999999999</v>
      </c>
    </row>
    <row r="225" spans="1:14" ht="14.5" x14ac:dyDescent="0.35">
      <c r="A225" s="9" t="s">
        <v>414</v>
      </c>
      <c r="B225" s="15">
        <v>45823</v>
      </c>
      <c r="C225" s="9" t="s">
        <v>179</v>
      </c>
      <c r="D225" s="9" t="s">
        <v>33</v>
      </c>
      <c r="E225" s="9" t="s">
        <v>34</v>
      </c>
      <c r="F225" s="9" t="s">
        <v>30</v>
      </c>
      <c r="G225" s="9" t="s">
        <v>25</v>
      </c>
      <c r="H225" s="16">
        <v>10</v>
      </c>
      <c r="I225" s="17">
        <v>320</v>
      </c>
      <c r="J225" s="18">
        <v>0.05</v>
      </c>
      <c r="K225" s="17">
        <v>3040</v>
      </c>
      <c r="L225" s="17">
        <v>1950</v>
      </c>
      <c r="M225" s="17">
        <v>1090</v>
      </c>
      <c r="N225" s="18">
        <v>0.35859999999999997</v>
      </c>
    </row>
    <row r="226" spans="1:14" ht="14.5" x14ac:dyDescent="0.35">
      <c r="A226" s="9" t="s">
        <v>415</v>
      </c>
      <c r="B226" s="15">
        <v>45824</v>
      </c>
      <c r="C226" s="9" t="s">
        <v>416</v>
      </c>
      <c r="D226" s="9" t="s">
        <v>28</v>
      </c>
      <c r="E226" s="9" t="s">
        <v>29</v>
      </c>
      <c r="F226" s="9" t="s">
        <v>18</v>
      </c>
      <c r="G226" s="9" t="s">
        <v>35</v>
      </c>
      <c r="H226" s="16">
        <v>1</v>
      </c>
      <c r="I226" s="17">
        <v>850</v>
      </c>
      <c r="J226" s="18">
        <v>0.02</v>
      </c>
      <c r="K226" s="17">
        <v>833</v>
      </c>
      <c r="L226" s="17">
        <v>520</v>
      </c>
      <c r="M226" s="17">
        <v>313</v>
      </c>
      <c r="N226" s="18">
        <v>0.37580000000000002</v>
      </c>
    </row>
    <row r="227" spans="1:14" ht="14.5" x14ac:dyDescent="0.35">
      <c r="A227" s="9" t="s">
        <v>417</v>
      </c>
      <c r="B227" s="15">
        <v>45825</v>
      </c>
      <c r="C227" s="9" t="s">
        <v>418</v>
      </c>
      <c r="D227" s="9" t="s">
        <v>16</v>
      </c>
      <c r="E227" s="9" t="s">
        <v>17</v>
      </c>
      <c r="F227" s="9" t="s">
        <v>38</v>
      </c>
      <c r="G227" s="9" t="s">
        <v>25</v>
      </c>
      <c r="H227" s="16">
        <v>7</v>
      </c>
      <c r="I227" s="17">
        <v>210</v>
      </c>
      <c r="J227" s="18">
        <v>0</v>
      </c>
      <c r="K227" s="17">
        <v>1470</v>
      </c>
      <c r="L227" s="17">
        <v>875</v>
      </c>
      <c r="M227" s="17">
        <v>595</v>
      </c>
      <c r="N227" s="18">
        <v>0.40479999999999999</v>
      </c>
    </row>
    <row r="228" spans="1:14" ht="14.5" x14ac:dyDescent="0.35">
      <c r="A228" s="9" t="s">
        <v>419</v>
      </c>
      <c r="B228" s="15">
        <v>45825</v>
      </c>
      <c r="C228" s="9" t="s">
        <v>82</v>
      </c>
      <c r="D228" s="9" t="s">
        <v>60</v>
      </c>
      <c r="E228" s="9" t="s">
        <v>34</v>
      </c>
      <c r="F228" s="9" t="s">
        <v>24</v>
      </c>
      <c r="G228" s="9" t="s">
        <v>35</v>
      </c>
      <c r="H228" s="16">
        <v>4</v>
      </c>
      <c r="I228" s="17">
        <v>240</v>
      </c>
      <c r="J228" s="18">
        <v>0.15</v>
      </c>
      <c r="K228" s="17">
        <v>816</v>
      </c>
      <c r="L228" s="17">
        <v>580</v>
      </c>
      <c r="M228" s="17">
        <v>236</v>
      </c>
      <c r="N228" s="18">
        <v>0.28920000000000001</v>
      </c>
    </row>
    <row r="229" spans="1:14" ht="14.5" x14ac:dyDescent="0.35">
      <c r="A229" s="9" t="s">
        <v>420</v>
      </c>
      <c r="B229" s="15">
        <v>45827</v>
      </c>
      <c r="C229" s="9" t="s">
        <v>383</v>
      </c>
      <c r="D229" s="9" t="s">
        <v>142</v>
      </c>
      <c r="E229" s="9" t="s">
        <v>29</v>
      </c>
      <c r="F229" s="9" t="s">
        <v>30</v>
      </c>
      <c r="G229" s="9" t="s">
        <v>35</v>
      </c>
      <c r="H229" s="16">
        <v>2</v>
      </c>
      <c r="I229" s="17">
        <v>280</v>
      </c>
      <c r="J229" s="18">
        <v>0</v>
      </c>
      <c r="K229" s="17">
        <v>560</v>
      </c>
      <c r="L229" s="17">
        <v>340</v>
      </c>
      <c r="M229" s="17">
        <v>220</v>
      </c>
      <c r="N229" s="18">
        <v>0.39290000000000003</v>
      </c>
    </row>
    <row r="230" spans="1:14" ht="14.5" x14ac:dyDescent="0.35">
      <c r="A230" s="9" t="s">
        <v>421</v>
      </c>
      <c r="B230" s="15">
        <v>45827</v>
      </c>
      <c r="C230" s="9" t="s">
        <v>121</v>
      </c>
      <c r="D230" s="9" t="s">
        <v>22</v>
      </c>
      <c r="E230" s="9" t="s">
        <v>23</v>
      </c>
      <c r="F230" s="9" t="s">
        <v>18</v>
      </c>
      <c r="G230" s="9" t="s">
        <v>35</v>
      </c>
      <c r="H230" s="16">
        <v>9</v>
      </c>
      <c r="I230" s="17">
        <v>65</v>
      </c>
      <c r="J230" s="18">
        <v>0.05</v>
      </c>
      <c r="K230" s="17">
        <v>555.75</v>
      </c>
      <c r="L230" s="17">
        <v>315</v>
      </c>
      <c r="M230" s="17">
        <v>240.75</v>
      </c>
      <c r="N230" s="18">
        <v>0.43319999999999997</v>
      </c>
    </row>
    <row r="231" spans="1:14" ht="14.5" x14ac:dyDescent="0.35">
      <c r="A231" s="9" t="s">
        <v>422</v>
      </c>
      <c r="B231" s="15">
        <v>45827</v>
      </c>
      <c r="C231" s="9" t="s">
        <v>402</v>
      </c>
      <c r="D231" s="9" t="s">
        <v>28</v>
      </c>
      <c r="E231" s="9" t="s">
        <v>29</v>
      </c>
      <c r="F231" s="9" t="s">
        <v>38</v>
      </c>
      <c r="G231" s="9" t="s">
        <v>19</v>
      </c>
      <c r="H231" s="16">
        <v>9</v>
      </c>
      <c r="I231" s="17">
        <v>850</v>
      </c>
      <c r="J231" s="18">
        <v>0.05</v>
      </c>
      <c r="K231" s="17">
        <v>7267.5</v>
      </c>
      <c r="L231" s="17">
        <v>4680</v>
      </c>
      <c r="M231" s="17">
        <v>2587.5</v>
      </c>
      <c r="N231" s="18">
        <v>0.35599999999999998</v>
      </c>
    </row>
    <row r="232" spans="1:14" ht="14.5" x14ac:dyDescent="0.35">
      <c r="A232" s="9" t="s">
        <v>423</v>
      </c>
      <c r="B232" s="15">
        <v>45827</v>
      </c>
      <c r="C232" s="9" t="s">
        <v>233</v>
      </c>
      <c r="D232" s="9" t="s">
        <v>28</v>
      </c>
      <c r="E232" s="9" t="s">
        <v>29</v>
      </c>
      <c r="F232" s="9" t="s">
        <v>18</v>
      </c>
      <c r="G232" s="9" t="s">
        <v>46</v>
      </c>
      <c r="H232" s="16">
        <v>2</v>
      </c>
      <c r="I232" s="17">
        <v>850</v>
      </c>
      <c r="J232" s="18">
        <v>0.1</v>
      </c>
      <c r="K232" s="17">
        <v>1530</v>
      </c>
      <c r="L232" s="17">
        <v>1040</v>
      </c>
      <c r="M232" s="17">
        <v>490</v>
      </c>
      <c r="N232" s="18">
        <v>0.32029999999999997</v>
      </c>
    </row>
    <row r="233" spans="1:14" ht="14.5" x14ac:dyDescent="0.35">
      <c r="A233" s="9" t="s">
        <v>424</v>
      </c>
      <c r="B233" s="15">
        <v>45830</v>
      </c>
      <c r="C233" s="9" t="s">
        <v>353</v>
      </c>
      <c r="D233" s="9" t="s">
        <v>52</v>
      </c>
      <c r="E233" s="9" t="s">
        <v>23</v>
      </c>
      <c r="F233" s="9" t="s">
        <v>38</v>
      </c>
      <c r="G233" s="9" t="s">
        <v>53</v>
      </c>
      <c r="H233" s="16">
        <v>2</v>
      </c>
      <c r="I233" s="17">
        <v>35</v>
      </c>
      <c r="J233" s="18">
        <v>0.15</v>
      </c>
      <c r="K233" s="17">
        <v>59.5</v>
      </c>
      <c r="L233" s="17">
        <v>36</v>
      </c>
      <c r="M233" s="17">
        <v>23.5</v>
      </c>
      <c r="N233" s="18">
        <v>0.39500000000000002</v>
      </c>
    </row>
    <row r="234" spans="1:14" ht="14.5" x14ac:dyDescent="0.35">
      <c r="A234" s="9" t="s">
        <v>425</v>
      </c>
      <c r="B234" s="15">
        <v>45830</v>
      </c>
      <c r="C234" s="9" t="s">
        <v>426</v>
      </c>
      <c r="D234" s="9" t="s">
        <v>142</v>
      </c>
      <c r="E234" s="9" t="s">
        <v>29</v>
      </c>
      <c r="F234" s="9" t="s">
        <v>18</v>
      </c>
      <c r="G234" s="9" t="s">
        <v>46</v>
      </c>
      <c r="H234" s="16">
        <v>8</v>
      </c>
      <c r="I234" s="17">
        <v>280</v>
      </c>
      <c r="J234" s="18">
        <v>0</v>
      </c>
      <c r="K234" s="17">
        <v>2240</v>
      </c>
      <c r="L234" s="17">
        <v>1360</v>
      </c>
      <c r="M234" s="17">
        <v>880</v>
      </c>
      <c r="N234" s="18">
        <v>0.39290000000000003</v>
      </c>
    </row>
    <row r="235" spans="1:14" ht="14.5" x14ac:dyDescent="0.35">
      <c r="A235" s="9" t="s">
        <v>427</v>
      </c>
      <c r="B235" s="15">
        <v>45830</v>
      </c>
      <c r="C235" s="9" t="s">
        <v>221</v>
      </c>
      <c r="D235" s="9" t="s">
        <v>16</v>
      </c>
      <c r="E235" s="9" t="s">
        <v>17</v>
      </c>
      <c r="F235" s="9" t="s">
        <v>18</v>
      </c>
      <c r="G235" s="9" t="s">
        <v>53</v>
      </c>
      <c r="H235" s="16">
        <v>5</v>
      </c>
      <c r="I235" s="17">
        <v>210</v>
      </c>
      <c r="J235" s="18">
        <v>0.02</v>
      </c>
      <c r="K235" s="17">
        <v>1029</v>
      </c>
      <c r="L235" s="17">
        <v>625</v>
      </c>
      <c r="M235" s="17">
        <v>404</v>
      </c>
      <c r="N235" s="18">
        <v>0.3926</v>
      </c>
    </row>
    <row r="236" spans="1:14" ht="14.5" x14ac:dyDescent="0.35">
      <c r="A236" s="9" t="s">
        <v>428</v>
      </c>
      <c r="B236" s="15">
        <v>45830</v>
      </c>
      <c r="C236" s="9" t="s">
        <v>283</v>
      </c>
      <c r="D236" s="9" t="s">
        <v>16</v>
      </c>
      <c r="E236" s="9" t="s">
        <v>17</v>
      </c>
      <c r="F236" s="9" t="s">
        <v>38</v>
      </c>
      <c r="G236" s="9" t="s">
        <v>46</v>
      </c>
      <c r="H236" s="16">
        <v>7</v>
      </c>
      <c r="I236" s="17">
        <v>210</v>
      </c>
      <c r="J236" s="18">
        <v>0.05</v>
      </c>
      <c r="K236" s="17">
        <v>1396.5</v>
      </c>
      <c r="L236" s="17">
        <v>875</v>
      </c>
      <c r="M236" s="17">
        <v>521.5</v>
      </c>
      <c r="N236" s="18">
        <v>0.37340000000000001</v>
      </c>
    </row>
    <row r="237" spans="1:14" ht="14.5" x14ac:dyDescent="0.35">
      <c r="A237" s="9" t="s">
        <v>429</v>
      </c>
      <c r="B237" s="15">
        <v>45830</v>
      </c>
      <c r="C237" s="9" t="s">
        <v>430</v>
      </c>
      <c r="D237" s="9" t="s">
        <v>43</v>
      </c>
      <c r="E237" s="9" t="s">
        <v>23</v>
      </c>
      <c r="F237" s="9" t="s">
        <v>18</v>
      </c>
      <c r="G237" s="9" t="s">
        <v>35</v>
      </c>
      <c r="H237" s="16">
        <v>6</v>
      </c>
      <c r="I237" s="17">
        <v>75</v>
      </c>
      <c r="J237" s="18">
        <v>0</v>
      </c>
      <c r="K237" s="17">
        <v>450</v>
      </c>
      <c r="L237" s="17">
        <v>240</v>
      </c>
      <c r="M237" s="17">
        <v>210</v>
      </c>
      <c r="N237" s="18">
        <v>0.4667</v>
      </c>
    </row>
    <row r="238" spans="1:14" ht="14.5" x14ac:dyDescent="0.35">
      <c r="A238" s="9" t="s">
        <v>431</v>
      </c>
      <c r="B238" s="15">
        <v>45831</v>
      </c>
      <c r="C238" s="9" t="s">
        <v>432</v>
      </c>
      <c r="D238" s="9" t="s">
        <v>22</v>
      </c>
      <c r="E238" s="9" t="s">
        <v>23</v>
      </c>
      <c r="F238" s="9" t="s">
        <v>30</v>
      </c>
      <c r="G238" s="9" t="s">
        <v>35</v>
      </c>
      <c r="H238" s="16">
        <v>10</v>
      </c>
      <c r="I238" s="17">
        <v>65</v>
      </c>
      <c r="J238" s="18">
        <v>0.02</v>
      </c>
      <c r="K238" s="17">
        <v>637</v>
      </c>
      <c r="L238" s="17">
        <v>350</v>
      </c>
      <c r="M238" s="17">
        <v>287</v>
      </c>
      <c r="N238" s="18">
        <v>0.45050000000000001</v>
      </c>
    </row>
    <row r="239" spans="1:14" ht="14.5" x14ac:dyDescent="0.35">
      <c r="A239" s="9" t="s">
        <v>433</v>
      </c>
      <c r="B239" s="15">
        <v>45831</v>
      </c>
      <c r="C239" s="9" t="s">
        <v>398</v>
      </c>
      <c r="D239" s="9" t="s">
        <v>28</v>
      </c>
      <c r="E239" s="9" t="s">
        <v>29</v>
      </c>
      <c r="F239" s="9" t="s">
        <v>24</v>
      </c>
      <c r="G239" s="9" t="s">
        <v>49</v>
      </c>
      <c r="H239" s="16">
        <v>9</v>
      </c>
      <c r="I239" s="17">
        <v>850</v>
      </c>
      <c r="J239" s="18">
        <v>0.05</v>
      </c>
      <c r="K239" s="17">
        <v>7267.5</v>
      </c>
      <c r="L239" s="17">
        <v>4680</v>
      </c>
      <c r="M239" s="17">
        <v>2587.5</v>
      </c>
      <c r="N239" s="18">
        <v>0.35599999999999998</v>
      </c>
    </row>
    <row r="240" spans="1:14" ht="14.5" x14ac:dyDescent="0.35">
      <c r="A240" s="9" t="s">
        <v>434</v>
      </c>
      <c r="B240" s="15">
        <v>45833</v>
      </c>
      <c r="C240" s="9" t="s">
        <v>211</v>
      </c>
      <c r="D240" s="9" t="s">
        <v>33</v>
      </c>
      <c r="E240" s="9" t="s">
        <v>34</v>
      </c>
      <c r="F240" s="9" t="s">
        <v>18</v>
      </c>
      <c r="G240" s="9" t="s">
        <v>19</v>
      </c>
      <c r="H240" s="16">
        <v>7</v>
      </c>
      <c r="I240" s="17">
        <v>320</v>
      </c>
      <c r="J240" s="18">
        <v>0</v>
      </c>
      <c r="K240" s="17">
        <v>2240</v>
      </c>
      <c r="L240" s="17">
        <v>1365</v>
      </c>
      <c r="M240" s="17">
        <v>875</v>
      </c>
      <c r="N240" s="18">
        <v>0.3906</v>
      </c>
    </row>
    <row r="241" spans="1:14" ht="14.5" x14ac:dyDescent="0.35">
      <c r="A241" s="9" t="s">
        <v>435</v>
      </c>
      <c r="B241" s="15">
        <v>45834</v>
      </c>
      <c r="C241" s="9" t="s">
        <v>436</v>
      </c>
      <c r="D241" s="9" t="s">
        <v>52</v>
      </c>
      <c r="E241" s="9" t="s">
        <v>23</v>
      </c>
      <c r="F241" s="9" t="s">
        <v>30</v>
      </c>
      <c r="G241" s="9" t="s">
        <v>53</v>
      </c>
      <c r="H241" s="16">
        <v>4</v>
      </c>
      <c r="I241" s="17">
        <v>35</v>
      </c>
      <c r="J241" s="18">
        <v>0.02</v>
      </c>
      <c r="K241" s="17">
        <v>137.19999999999999</v>
      </c>
      <c r="L241" s="17">
        <v>72</v>
      </c>
      <c r="M241" s="17">
        <v>65.2</v>
      </c>
      <c r="N241" s="18">
        <v>0.47520000000000001</v>
      </c>
    </row>
    <row r="242" spans="1:14" ht="14.5" x14ac:dyDescent="0.35">
      <c r="A242" s="9" t="s">
        <v>437</v>
      </c>
      <c r="B242" s="15">
        <v>45834</v>
      </c>
      <c r="C242" s="9" t="s">
        <v>359</v>
      </c>
      <c r="D242" s="9" t="s">
        <v>22</v>
      </c>
      <c r="E242" s="9" t="s">
        <v>23</v>
      </c>
      <c r="F242" s="9" t="s">
        <v>18</v>
      </c>
      <c r="G242" s="9" t="s">
        <v>19</v>
      </c>
      <c r="H242" s="16">
        <v>7</v>
      </c>
      <c r="I242" s="17">
        <v>65</v>
      </c>
      <c r="J242" s="18">
        <v>0.02</v>
      </c>
      <c r="K242" s="17">
        <v>445.9</v>
      </c>
      <c r="L242" s="17">
        <v>245</v>
      </c>
      <c r="M242" s="17">
        <v>200.9</v>
      </c>
      <c r="N242" s="18">
        <v>0.45050000000000001</v>
      </c>
    </row>
    <row r="243" spans="1:14" ht="14.5" x14ac:dyDescent="0.35">
      <c r="A243" s="9" t="s">
        <v>438</v>
      </c>
      <c r="B243" s="15">
        <v>45834</v>
      </c>
      <c r="C243" s="9" t="s">
        <v>147</v>
      </c>
      <c r="D243" s="9" t="s">
        <v>33</v>
      </c>
      <c r="E243" s="9" t="s">
        <v>34</v>
      </c>
      <c r="F243" s="9" t="s">
        <v>30</v>
      </c>
      <c r="G243" s="9" t="s">
        <v>25</v>
      </c>
      <c r="H243" s="16">
        <v>3</v>
      </c>
      <c r="I243" s="17">
        <v>320</v>
      </c>
      <c r="J243" s="18">
        <v>0</v>
      </c>
      <c r="K243" s="17">
        <v>960</v>
      </c>
      <c r="L243" s="17">
        <v>585</v>
      </c>
      <c r="M243" s="17">
        <v>375</v>
      </c>
      <c r="N243" s="18">
        <v>0.3906</v>
      </c>
    </row>
    <row r="244" spans="1:14" ht="14.5" x14ac:dyDescent="0.35">
      <c r="A244" s="9" t="s">
        <v>439</v>
      </c>
      <c r="B244" s="15">
        <v>45834</v>
      </c>
      <c r="C244" s="9" t="s">
        <v>398</v>
      </c>
      <c r="D244" s="9" t="s">
        <v>22</v>
      </c>
      <c r="E244" s="9" t="s">
        <v>23</v>
      </c>
      <c r="F244" s="9" t="s">
        <v>38</v>
      </c>
      <c r="G244" s="9" t="s">
        <v>19</v>
      </c>
      <c r="H244" s="16">
        <v>2</v>
      </c>
      <c r="I244" s="17">
        <v>65</v>
      </c>
      <c r="J244" s="18">
        <v>0</v>
      </c>
      <c r="K244" s="17">
        <v>130</v>
      </c>
      <c r="L244" s="17">
        <v>70</v>
      </c>
      <c r="M244" s="17">
        <v>60</v>
      </c>
      <c r="N244" s="18">
        <v>0.46150000000000002</v>
      </c>
    </row>
    <row r="245" spans="1:14" ht="14.5" x14ac:dyDescent="0.35">
      <c r="A245" s="9" t="s">
        <v>440</v>
      </c>
      <c r="B245" s="15">
        <v>45835</v>
      </c>
      <c r="C245" s="9" t="s">
        <v>109</v>
      </c>
      <c r="D245" s="9" t="s">
        <v>52</v>
      </c>
      <c r="E245" s="9" t="s">
        <v>23</v>
      </c>
      <c r="F245" s="9" t="s">
        <v>38</v>
      </c>
      <c r="G245" s="9" t="s">
        <v>19</v>
      </c>
      <c r="H245" s="16">
        <v>3</v>
      </c>
      <c r="I245" s="17">
        <v>35</v>
      </c>
      <c r="J245" s="18">
        <v>0.1</v>
      </c>
      <c r="K245" s="17">
        <v>94.5</v>
      </c>
      <c r="L245" s="17">
        <v>54</v>
      </c>
      <c r="M245" s="17">
        <v>40.5</v>
      </c>
      <c r="N245" s="18">
        <v>0.42859999999999998</v>
      </c>
    </row>
    <row r="246" spans="1:14" ht="14.5" x14ac:dyDescent="0.35">
      <c r="A246" s="9" t="s">
        <v>441</v>
      </c>
      <c r="B246" s="15">
        <v>45835</v>
      </c>
      <c r="C246" s="9" t="s">
        <v>389</v>
      </c>
      <c r="D246" s="9" t="s">
        <v>16</v>
      </c>
      <c r="E246" s="9" t="s">
        <v>17</v>
      </c>
      <c r="F246" s="9" t="s">
        <v>38</v>
      </c>
      <c r="G246" s="9" t="s">
        <v>25</v>
      </c>
      <c r="H246" s="16">
        <v>5</v>
      </c>
      <c r="I246" s="17">
        <v>210</v>
      </c>
      <c r="J246" s="18">
        <v>0</v>
      </c>
      <c r="K246" s="17">
        <v>1050</v>
      </c>
      <c r="L246" s="17">
        <v>625</v>
      </c>
      <c r="M246" s="17">
        <v>425</v>
      </c>
      <c r="N246" s="18">
        <v>0.40479999999999999</v>
      </c>
    </row>
    <row r="247" spans="1:14" ht="14.5" x14ac:dyDescent="0.35">
      <c r="A247" s="9" t="s">
        <v>442</v>
      </c>
      <c r="B247" s="15">
        <v>45836</v>
      </c>
      <c r="C247" s="9" t="s">
        <v>398</v>
      </c>
      <c r="D247" s="9" t="s">
        <v>43</v>
      </c>
      <c r="E247" s="9" t="s">
        <v>23</v>
      </c>
      <c r="F247" s="9" t="s">
        <v>24</v>
      </c>
      <c r="G247" s="9" t="s">
        <v>25</v>
      </c>
      <c r="H247" s="16">
        <v>7</v>
      </c>
      <c r="I247" s="17">
        <v>75</v>
      </c>
      <c r="J247" s="18">
        <v>0</v>
      </c>
      <c r="K247" s="17">
        <v>525</v>
      </c>
      <c r="L247" s="17">
        <v>280</v>
      </c>
      <c r="M247" s="17">
        <v>245</v>
      </c>
      <c r="N247" s="18">
        <v>0.4667</v>
      </c>
    </row>
    <row r="248" spans="1:14" ht="14.5" x14ac:dyDescent="0.35">
      <c r="A248" s="9" t="s">
        <v>443</v>
      </c>
      <c r="B248" s="15">
        <v>45837</v>
      </c>
      <c r="C248" s="9" t="s">
        <v>444</v>
      </c>
      <c r="D248" s="9" t="s">
        <v>60</v>
      </c>
      <c r="E248" s="9" t="s">
        <v>34</v>
      </c>
      <c r="F248" s="9" t="s">
        <v>24</v>
      </c>
      <c r="G248" s="9" t="s">
        <v>35</v>
      </c>
      <c r="H248" s="16">
        <v>8</v>
      </c>
      <c r="I248" s="17">
        <v>240</v>
      </c>
      <c r="J248" s="18">
        <v>0.05</v>
      </c>
      <c r="K248" s="17">
        <v>1824</v>
      </c>
      <c r="L248" s="17">
        <v>1160</v>
      </c>
      <c r="M248" s="17">
        <v>664</v>
      </c>
      <c r="N248" s="18">
        <v>0.36399999999999999</v>
      </c>
    </row>
    <row r="249" spans="1:14" ht="14.5" x14ac:dyDescent="0.35">
      <c r="A249" s="9" t="s">
        <v>445</v>
      </c>
      <c r="B249" s="15">
        <v>45837</v>
      </c>
      <c r="C249" s="9" t="s">
        <v>446</v>
      </c>
      <c r="D249" s="9" t="s">
        <v>43</v>
      </c>
      <c r="E249" s="9" t="s">
        <v>23</v>
      </c>
      <c r="F249" s="9" t="s">
        <v>38</v>
      </c>
      <c r="G249" s="9" t="s">
        <v>49</v>
      </c>
      <c r="H249" s="16">
        <v>2</v>
      </c>
      <c r="I249" s="17">
        <v>75</v>
      </c>
      <c r="J249" s="18">
        <v>0</v>
      </c>
      <c r="K249" s="17">
        <v>150</v>
      </c>
      <c r="L249" s="17">
        <v>80</v>
      </c>
      <c r="M249" s="17">
        <v>70</v>
      </c>
      <c r="N249" s="18">
        <v>0.4667</v>
      </c>
    </row>
    <row r="250" spans="1:14" ht="14.5" x14ac:dyDescent="0.35">
      <c r="A250" s="9" t="s">
        <v>447</v>
      </c>
      <c r="B250" s="15">
        <v>45838</v>
      </c>
      <c r="C250" s="9" t="s">
        <v>448</v>
      </c>
      <c r="D250" s="9" t="s">
        <v>16</v>
      </c>
      <c r="E250" s="9" t="s">
        <v>17</v>
      </c>
      <c r="F250" s="9" t="s">
        <v>38</v>
      </c>
      <c r="G250" s="9" t="s">
        <v>35</v>
      </c>
      <c r="H250" s="16">
        <v>3</v>
      </c>
      <c r="I250" s="17">
        <v>210</v>
      </c>
      <c r="J250" s="18">
        <v>0</v>
      </c>
      <c r="K250" s="17">
        <v>630</v>
      </c>
      <c r="L250" s="17">
        <v>375</v>
      </c>
      <c r="M250" s="17">
        <v>255</v>
      </c>
      <c r="N250" s="18">
        <v>0.40479999999999999</v>
      </c>
    </row>
    <row r="251" spans="1:14" ht="14.5" x14ac:dyDescent="0.35">
      <c r="A251" s="9" t="s">
        <v>449</v>
      </c>
      <c r="B251" s="15">
        <v>45839</v>
      </c>
      <c r="C251" s="9" t="s">
        <v>161</v>
      </c>
      <c r="D251" s="9" t="s">
        <v>22</v>
      </c>
      <c r="E251" s="9" t="s">
        <v>23</v>
      </c>
      <c r="F251" s="9" t="s">
        <v>30</v>
      </c>
      <c r="G251" s="9" t="s">
        <v>25</v>
      </c>
      <c r="H251" s="16">
        <v>5</v>
      </c>
      <c r="I251" s="17">
        <v>65</v>
      </c>
      <c r="J251" s="18">
        <v>0</v>
      </c>
      <c r="K251" s="17">
        <v>325</v>
      </c>
      <c r="L251" s="17">
        <v>175</v>
      </c>
      <c r="M251" s="17">
        <v>150</v>
      </c>
      <c r="N251" s="18">
        <v>0.46150000000000002</v>
      </c>
    </row>
    <row r="252" spans="1:14" ht="14.5" x14ac:dyDescent="0.35">
      <c r="A252" s="9" t="s">
        <v>450</v>
      </c>
      <c r="B252" s="15">
        <v>45840</v>
      </c>
      <c r="C252" s="9" t="s">
        <v>451</v>
      </c>
      <c r="D252" s="9" t="s">
        <v>52</v>
      </c>
      <c r="E252" s="9" t="s">
        <v>23</v>
      </c>
      <c r="F252" s="9" t="s">
        <v>30</v>
      </c>
      <c r="G252" s="9" t="s">
        <v>19</v>
      </c>
      <c r="H252" s="16">
        <v>10</v>
      </c>
      <c r="I252" s="17">
        <v>35</v>
      </c>
      <c r="J252" s="18">
        <v>0</v>
      </c>
      <c r="K252" s="17">
        <v>350</v>
      </c>
      <c r="L252" s="17">
        <v>180</v>
      </c>
      <c r="M252" s="17">
        <v>170</v>
      </c>
      <c r="N252" s="18">
        <v>0.48570000000000002</v>
      </c>
    </row>
    <row r="253" spans="1:14" ht="14.5" x14ac:dyDescent="0.35">
      <c r="A253" s="9" t="s">
        <v>452</v>
      </c>
      <c r="B253" s="15">
        <v>45840</v>
      </c>
      <c r="C253" s="9" t="s">
        <v>453</v>
      </c>
      <c r="D253" s="9" t="s">
        <v>52</v>
      </c>
      <c r="E253" s="9" t="s">
        <v>23</v>
      </c>
      <c r="F253" s="9" t="s">
        <v>18</v>
      </c>
      <c r="G253" s="9" t="s">
        <v>35</v>
      </c>
      <c r="H253" s="16">
        <v>1</v>
      </c>
      <c r="I253" s="17">
        <v>35</v>
      </c>
      <c r="J253" s="18">
        <v>0.02</v>
      </c>
      <c r="K253" s="17">
        <v>34.299999999999997</v>
      </c>
      <c r="L253" s="17">
        <v>18</v>
      </c>
      <c r="M253" s="17">
        <v>16.3</v>
      </c>
      <c r="N253" s="18">
        <v>0.47520000000000001</v>
      </c>
    </row>
    <row r="254" spans="1:14" ht="14.5" x14ac:dyDescent="0.35">
      <c r="A254" s="9" t="s">
        <v>454</v>
      </c>
      <c r="B254" s="15">
        <v>45841</v>
      </c>
      <c r="C254" s="9" t="s">
        <v>303</v>
      </c>
      <c r="D254" s="9" t="s">
        <v>28</v>
      </c>
      <c r="E254" s="9" t="s">
        <v>29</v>
      </c>
      <c r="F254" s="9" t="s">
        <v>18</v>
      </c>
      <c r="G254" s="9" t="s">
        <v>25</v>
      </c>
      <c r="H254" s="16">
        <v>4</v>
      </c>
      <c r="I254" s="17">
        <v>850</v>
      </c>
      <c r="J254" s="18">
        <v>0.1</v>
      </c>
      <c r="K254" s="17">
        <v>3060</v>
      </c>
      <c r="L254" s="17">
        <v>2080</v>
      </c>
      <c r="M254" s="17">
        <v>980</v>
      </c>
      <c r="N254" s="18">
        <v>0.32029999999999997</v>
      </c>
    </row>
    <row r="255" spans="1:14" ht="14.5" x14ac:dyDescent="0.35">
      <c r="A255" s="9" t="s">
        <v>455</v>
      </c>
      <c r="B255" s="15">
        <v>45841</v>
      </c>
      <c r="C255" s="9" t="s">
        <v>456</v>
      </c>
      <c r="D255" s="9" t="s">
        <v>60</v>
      </c>
      <c r="E255" s="9" t="s">
        <v>34</v>
      </c>
      <c r="F255" s="9" t="s">
        <v>38</v>
      </c>
      <c r="G255" s="9" t="s">
        <v>53</v>
      </c>
      <c r="H255" s="16">
        <v>5</v>
      </c>
      <c r="I255" s="17">
        <v>240</v>
      </c>
      <c r="J255" s="18">
        <v>0</v>
      </c>
      <c r="K255" s="17">
        <v>1200</v>
      </c>
      <c r="L255" s="17">
        <v>725</v>
      </c>
      <c r="M255" s="17">
        <v>475</v>
      </c>
      <c r="N255" s="18">
        <v>0.39579999999999999</v>
      </c>
    </row>
    <row r="256" spans="1:14" ht="14.5" x14ac:dyDescent="0.35">
      <c r="A256" s="9" t="s">
        <v>457</v>
      </c>
      <c r="B256" s="15">
        <v>45842</v>
      </c>
      <c r="C256" s="9" t="s">
        <v>353</v>
      </c>
      <c r="D256" s="9" t="s">
        <v>43</v>
      </c>
      <c r="E256" s="9" t="s">
        <v>23</v>
      </c>
      <c r="F256" s="9" t="s">
        <v>30</v>
      </c>
      <c r="G256" s="9" t="s">
        <v>46</v>
      </c>
      <c r="H256" s="16">
        <v>6</v>
      </c>
      <c r="I256" s="17">
        <v>75</v>
      </c>
      <c r="J256" s="18">
        <v>0</v>
      </c>
      <c r="K256" s="17">
        <v>450</v>
      </c>
      <c r="L256" s="17">
        <v>240</v>
      </c>
      <c r="M256" s="17">
        <v>210</v>
      </c>
      <c r="N256" s="18">
        <v>0.4667</v>
      </c>
    </row>
    <row r="257" spans="1:14" ht="14.5" x14ac:dyDescent="0.35">
      <c r="A257" s="9" t="s">
        <v>458</v>
      </c>
      <c r="B257" s="15">
        <v>45843</v>
      </c>
      <c r="C257" s="9" t="s">
        <v>459</v>
      </c>
      <c r="D257" s="9" t="s">
        <v>16</v>
      </c>
      <c r="E257" s="9" t="s">
        <v>17</v>
      </c>
      <c r="F257" s="9" t="s">
        <v>24</v>
      </c>
      <c r="G257" s="9" t="s">
        <v>46</v>
      </c>
      <c r="H257" s="16">
        <v>1</v>
      </c>
      <c r="I257" s="17">
        <v>210</v>
      </c>
      <c r="J257" s="18">
        <v>0</v>
      </c>
      <c r="K257" s="17">
        <v>210</v>
      </c>
      <c r="L257" s="17">
        <v>125</v>
      </c>
      <c r="M257" s="17">
        <v>85</v>
      </c>
      <c r="N257" s="18">
        <v>0.40479999999999999</v>
      </c>
    </row>
    <row r="258" spans="1:14" ht="14.5" x14ac:dyDescent="0.35">
      <c r="A258" s="9" t="s">
        <v>460</v>
      </c>
      <c r="B258" s="15">
        <v>45843</v>
      </c>
      <c r="C258" s="9" t="s">
        <v>361</v>
      </c>
      <c r="D258" s="9" t="s">
        <v>28</v>
      </c>
      <c r="E258" s="9" t="s">
        <v>29</v>
      </c>
      <c r="F258" s="9" t="s">
        <v>24</v>
      </c>
      <c r="G258" s="9" t="s">
        <v>25</v>
      </c>
      <c r="H258" s="16">
        <v>5</v>
      </c>
      <c r="I258" s="17">
        <v>850</v>
      </c>
      <c r="J258" s="18">
        <v>0</v>
      </c>
      <c r="K258" s="17">
        <v>4250</v>
      </c>
      <c r="L258" s="17">
        <v>2600</v>
      </c>
      <c r="M258" s="17">
        <v>1650</v>
      </c>
      <c r="N258" s="18">
        <v>0.38819999999999999</v>
      </c>
    </row>
    <row r="259" spans="1:14" ht="14.5" x14ac:dyDescent="0.35">
      <c r="A259" s="9" t="s">
        <v>461</v>
      </c>
      <c r="B259" s="15">
        <v>45843</v>
      </c>
      <c r="C259" s="9" t="s">
        <v>378</v>
      </c>
      <c r="D259" s="9" t="s">
        <v>52</v>
      </c>
      <c r="E259" s="9" t="s">
        <v>23</v>
      </c>
      <c r="F259" s="9" t="s">
        <v>18</v>
      </c>
      <c r="G259" s="9" t="s">
        <v>19</v>
      </c>
      <c r="H259" s="16">
        <v>9</v>
      </c>
      <c r="I259" s="17">
        <v>35</v>
      </c>
      <c r="J259" s="18">
        <v>0.05</v>
      </c>
      <c r="K259" s="17">
        <v>299.25</v>
      </c>
      <c r="L259" s="17">
        <v>162</v>
      </c>
      <c r="M259" s="17">
        <v>137.25</v>
      </c>
      <c r="N259" s="18">
        <v>0.45860000000000001</v>
      </c>
    </row>
    <row r="260" spans="1:14" ht="14.5" x14ac:dyDescent="0.35">
      <c r="A260" s="9" t="s">
        <v>462</v>
      </c>
      <c r="B260" s="15">
        <v>45844</v>
      </c>
      <c r="C260" s="9" t="s">
        <v>70</v>
      </c>
      <c r="D260" s="9" t="s">
        <v>16</v>
      </c>
      <c r="E260" s="9" t="s">
        <v>17</v>
      </c>
      <c r="F260" s="9" t="s">
        <v>38</v>
      </c>
      <c r="G260" s="9" t="s">
        <v>49</v>
      </c>
      <c r="H260" s="16">
        <v>8</v>
      </c>
      <c r="I260" s="17">
        <v>210</v>
      </c>
      <c r="J260" s="18">
        <v>0.1</v>
      </c>
      <c r="K260" s="17">
        <v>1512</v>
      </c>
      <c r="L260" s="17">
        <v>1000</v>
      </c>
      <c r="M260" s="17">
        <v>512</v>
      </c>
      <c r="N260" s="18">
        <v>0.33860000000000001</v>
      </c>
    </row>
    <row r="261" spans="1:14" ht="14.5" x14ac:dyDescent="0.35">
      <c r="A261" s="9" t="s">
        <v>463</v>
      </c>
      <c r="B261" s="15">
        <v>45846</v>
      </c>
      <c r="C261" s="9" t="s">
        <v>37</v>
      </c>
      <c r="D261" s="9" t="s">
        <v>43</v>
      </c>
      <c r="E261" s="9" t="s">
        <v>23</v>
      </c>
      <c r="F261" s="9" t="s">
        <v>38</v>
      </c>
      <c r="G261" s="9" t="s">
        <v>19</v>
      </c>
      <c r="H261" s="16">
        <v>8</v>
      </c>
      <c r="I261" s="17">
        <v>75</v>
      </c>
      <c r="J261" s="18">
        <v>0</v>
      </c>
      <c r="K261" s="17">
        <v>600</v>
      </c>
      <c r="L261" s="17">
        <v>320</v>
      </c>
      <c r="M261" s="17">
        <v>280</v>
      </c>
      <c r="N261" s="18">
        <v>0.4667</v>
      </c>
    </row>
    <row r="262" spans="1:14" ht="14.5" x14ac:dyDescent="0.35">
      <c r="A262" s="9" t="s">
        <v>464</v>
      </c>
      <c r="B262" s="15">
        <v>45847</v>
      </c>
      <c r="C262" s="9" t="s">
        <v>200</v>
      </c>
      <c r="D262" s="9" t="s">
        <v>22</v>
      </c>
      <c r="E262" s="9" t="s">
        <v>23</v>
      </c>
      <c r="F262" s="9" t="s">
        <v>18</v>
      </c>
      <c r="G262" s="9" t="s">
        <v>19</v>
      </c>
      <c r="H262" s="16">
        <v>6</v>
      </c>
      <c r="I262" s="17">
        <v>65</v>
      </c>
      <c r="J262" s="18">
        <v>0.1</v>
      </c>
      <c r="K262" s="17">
        <v>351</v>
      </c>
      <c r="L262" s="17">
        <v>210</v>
      </c>
      <c r="M262" s="17">
        <v>141</v>
      </c>
      <c r="N262" s="18">
        <v>0.4017</v>
      </c>
    </row>
    <row r="263" spans="1:14" ht="14.5" x14ac:dyDescent="0.35">
      <c r="A263" s="9" t="s">
        <v>465</v>
      </c>
      <c r="B263" s="15">
        <v>45847</v>
      </c>
      <c r="C263" s="9" t="s">
        <v>155</v>
      </c>
      <c r="D263" s="9" t="s">
        <v>28</v>
      </c>
      <c r="E263" s="9" t="s">
        <v>29</v>
      </c>
      <c r="F263" s="9" t="s">
        <v>18</v>
      </c>
      <c r="G263" s="9" t="s">
        <v>19</v>
      </c>
      <c r="H263" s="16">
        <v>2</v>
      </c>
      <c r="I263" s="17">
        <v>850</v>
      </c>
      <c r="J263" s="18">
        <v>0</v>
      </c>
      <c r="K263" s="17">
        <v>1700</v>
      </c>
      <c r="L263" s="17">
        <v>1040</v>
      </c>
      <c r="M263" s="17">
        <v>660</v>
      </c>
      <c r="N263" s="18">
        <v>0.38819999999999999</v>
      </c>
    </row>
    <row r="264" spans="1:14" ht="14.5" x14ac:dyDescent="0.35">
      <c r="A264" s="9" t="s">
        <v>466</v>
      </c>
      <c r="B264" s="15">
        <v>45847</v>
      </c>
      <c r="C264" s="9" t="s">
        <v>467</v>
      </c>
      <c r="D264" s="9" t="s">
        <v>142</v>
      </c>
      <c r="E264" s="9" t="s">
        <v>29</v>
      </c>
      <c r="F264" s="9" t="s">
        <v>38</v>
      </c>
      <c r="G264" s="9" t="s">
        <v>53</v>
      </c>
      <c r="H264" s="16">
        <v>7</v>
      </c>
      <c r="I264" s="17">
        <v>280</v>
      </c>
      <c r="J264" s="18">
        <v>0.1</v>
      </c>
      <c r="K264" s="17">
        <v>1764</v>
      </c>
      <c r="L264" s="17">
        <v>1190</v>
      </c>
      <c r="M264" s="17">
        <v>574</v>
      </c>
      <c r="N264" s="18">
        <v>0.32540000000000002</v>
      </c>
    </row>
    <row r="265" spans="1:14" ht="14.5" x14ac:dyDescent="0.35">
      <c r="A265" s="9" t="s">
        <v>468</v>
      </c>
      <c r="B265" s="15">
        <v>45848</v>
      </c>
      <c r="C265" s="9" t="s">
        <v>446</v>
      </c>
      <c r="D265" s="9" t="s">
        <v>16</v>
      </c>
      <c r="E265" s="9" t="s">
        <v>17</v>
      </c>
      <c r="F265" s="9" t="s">
        <v>24</v>
      </c>
      <c r="G265" s="9" t="s">
        <v>19</v>
      </c>
      <c r="H265" s="16">
        <v>6</v>
      </c>
      <c r="I265" s="17">
        <v>210</v>
      </c>
      <c r="J265" s="18">
        <v>0.02</v>
      </c>
      <c r="K265" s="17">
        <v>1234.8</v>
      </c>
      <c r="L265" s="17">
        <v>750</v>
      </c>
      <c r="M265" s="17">
        <v>484.8</v>
      </c>
      <c r="N265" s="18">
        <v>0.3926</v>
      </c>
    </row>
    <row r="266" spans="1:14" ht="14.5" x14ac:dyDescent="0.35">
      <c r="A266" s="9" t="s">
        <v>469</v>
      </c>
      <c r="B266" s="15">
        <v>45848</v>
      </c>
      <c r="C266" s="9" t="s">
        <v>301</v>
      </c>
      <c r="D266" s="9" t="s">
        <v>60</v>
      </c>
      <c r="E266" s="9" t="s">
        <v>34</v>
      </c>
      <c r="F266" s="9" t="s">
        <v>18</v>
      </c>
      <c r="G266" s="9" t="s">
        <v>25</v>
      </c>
      <c r="H266" s="16">
        <v>4</v>
      </c>
      <c r="I266" s="17">
        <v>240</v>
      </c>
      <c r="J266" s="18">
        <v>0.05</v>
      </c>
      <c r="K266" s="17">
        <v>912</v>
      </c>
      <c r="L266" s="17">
        <v>580</v>
      </c>
      <c r="M266" s="17">
        <v>332</v>
      </c>
      <c r="N266" s="18">
        <v>0.36399999999999999</v>
      </c>
    </row>
    <row r="267" spans="1:14" ht="14.5" x14ac:dyDescent="0.35">
      <c r="A267" s="9" t="s">
        <v>470</v>
      </c>
      <c r="B267" s="15">
        <v>45849</v>
      </c>
      <c r="C267" s="9" t="s">
        <v>471</v>
      </c>
      <c r="D267" s="9" t="s">
        <v>16</v>
      </c>
      <c r="E267" s="9" t="s">
        <v>17</v>
      </c>
      <c r="F267" s="9" t="s">
        <v>24</v>
      </c>
      <c r="G267" s="9" t="s">
        <v>46</v>
      </c>
      <c r="H267" s="16">
        <v>2</v>
      </c>
      <c r="I267" s="17">
        <v>210</v>
      </c>
      <c r="J267" s="18">
        <v>0</v>
      </c>
      <c r="K267" s="17">
        <v>420</v>
      </c>
      <c r="L267" s="17">
        <v>250</v>
      </c>
      <c r="M267" s="17">
        <v>170</v>
      </c>
      <c r="N267" s="18">
        <v>0.40479999999999999</v>
      </c>
    </row>
    <row r="268" spans="1:14" ht="14.5" x14ac:dyDescent="0.35">
      <c r="A268" s="9" t="s">
        <v>472</v>
      </c>
      <c r="B268" s="15">
        <v>45849</v>
      </c>
      <c r="C268" s="9" t="s">
        <v>45</v>
      </c>
      <c r="D268" s="9" t="s">
        <v>142</v>
      </c>
      <c r="E268" s="9" t="s">
        <v>29</v>
      </c>
      <c r="F268" s="9" t="s">
        <v>18</v>
      </c>
      <c r="G268" s="9" t="s">
        <v>35</v>
      </c>
      <c r="H268" s="16">
        <v>3</v>
      </c>
      <c r="I268" s="17">
        <v>280</v>
      </c>
      <c r="J268" s="18">
        <v>0.1</v>
      </c>
      <c r="K268" s="17">
        <v>756</v>
      </c>
      <c r="L268" s="17">
        <v>510</v>
      </c>
      <c r="M268" s="17">
        <v>246</v>
      </c>
      <c r="N268" s="18">
        <v>0.32540000000000002</v>
      </c>
    </row>
    <row r="269" spans="1:14" ht="14.5" x14ac:dyDescent="0.35">
      <c r="A269" s="9" t="s">
        <v>473</v>
      </c>
      <c r="B269" s="15">
        <v>45849</v>
      </c>
      <c r="C269" s="9" t="s">
        <v>346</v>
      </c>
      <c r="D269" s="9" t="s">
        <v>16</v>
      </c>
      <c r="E269" s="9" t="s">
        <v>17</v>
      </c>
      <c r="F269" s="9" t="s">
        <v>18</v>
      </c>
      <c r="G269" s="9" t="s">
        <v>49</v>
      </c>
      <c r="H269" s="16">
        <v>6</v>
      </c>
      <c r="I269" s="17">
        <v>210</v>
      </c>
      <c r="J269" s="18">
        <v>0.15</v>
      </c>
      <c r="K269" s="17">
        <v>1071</v>
      </c>
      <c r="L269" s="17">
        <v>750</v>
      </c>
      <c r="M269" s="17">
        <v>321</v>
      </c>
      <c r="N269" s="18">
        <v>0.29970000000000002</v>
      </c>
    </row>
    <row r="270" spans="1:14" ht="14.5" x14ac:dyDescent="0.35">
      <c r="A270" s="9" t="s">
        <v>474</v>
      </c>
      <c r="B270" s="15">
        <v>45849</v>
      </c>
      <c r="C270" s="9" t="s">
        <v>37</v>
      </c>
      <c r="D270" s="9" t="s">
        <v>43</v>
      </c>
      <c r="E270" s="9" t="s">
        <v>23</v>
      </c>
      <c r="F270" s="9" t="s">
        <v>18</v>
      </c>
      <c r="G270" s="9" t="s">
        <v>25</v>
      </c>
      <c r="H270" s="16">
        <v>6</v>
      </c>
      <c r="I270" s="17">
        <v>75</v>
      </c>
      <c r="J270" s="18">
        <v>0</v>
      </c>
      <c r="K270" s="17">
        <v>450</v>
      </c>
      <c r="L270" s="17">
        <v>240</v>
      </c>
      <c r="M270" s="17">
        <v>210</v>
      </c>
      <c r="N270" s="18">
        <v>0.4667</v>
      </c>
    </row>
    <row r="271" spans="1:14" ht="14.5" x14ac:dyDescent="0.35">
      <c r="A271" s="9" t="s">
        <v>475</v>
      </c>
      <c r="B271" s="15">
        <v>45851</v>
      </c>
      <c r="C271" s="9" t="s">
        <v>62</v>
      </c>
      <c r="D271" s="9" t="s">
        <v>52</v>
      </c>
      <c r="E271" s="9" t="s">
        <v>23</v>
      </c>
      <c r="F271" s="9" t="s">
        <v>24</v>
      </c>
      <c r="G271" s="9" t="s">
        <v>46</v>
      </c>
      <c r="H271" s="16">
        <v>5</v>
      </c>
      <c r="I271" s="17">
        <v>35</v>
      </c>
      <c r="J271" s="18">
        <v>0</v>
      </c>
      <c r="K271" s="17">
        <v>175</v>
      </c>
      <c r="L271" s="17">
        <v>90</v>
      </c>
      <c r="M271" s="17">
        <v>85</v>
      </c>
      <c r="N271" s="18">
        <v>0.48570000000000002</v>
      </c>
    </row>
    <row r="272" spans="1:14" ht="14.5" x14ac:dyDescent="0.35">
      <c r="A272" s="9" t="s">
        <v>476</v>
      </c>
      <c r="B272" s="15">
        <v>45852</v>
      </c>
      <c r="C272" s="9" t="s">
        <v>380</v>
      </c>
      <c r="D272" s="9" t="s">
        <v>22</v>
      </c>
      <c r="E272" s="9" t="s">
        <v>23</v>
      </c>
      <c r="F272" s="9" t="s">
        <v>24</v>
      </c>
      <c r="G272" s="9" t="s">
        <v>35</v>
      </c>
      <c r="H272" s="16">
        <v>6</v>
      </c>
      <c r="I272" s="17">
        <v>65</v>
      </c>
      <c r="J272" s="18">
        <v>0.05</v>
      </c>
      <c r="K272" s="17">
        <v>370.5</v>
      </c>
      <c r="L272" s="17">
        <v>210</v>
      </c>
      <c r="M272" s="17">
        <v>160.5</v>
      </c>
      <c r="N272" s="18">
        <v>0.43319999999999997</v>
      </c>
    </row>
    <row r="273" spans="1:14" ht="14.5" x14ac:dyDescent="0.35">
      <c r="A273" s="9" t="s">
        <v>477</v>
      </c>
      <c r="B273" s="15">
        <v>45852</v>
      </c>
      <c r="C273" s="9" t="s">
        <v>70</v>
      </c>
      <c r="D273" s="9" t="s">
        <v>28</v>
      </c>
      <c r="E273" s="9" t="s">
        <v>29</v>
      </c>
      <c r="F273" s="9" t="s">
        <v>18</v>
      </c>
      <c r="G273" s="9" t="s">
        <v>25</v>
      </c>
      <c r="H273" s="16">
        <v>3</v>
      </c>
      <c r="I273" s="17">
        <v>850</v>
      </c>
      <c r="J273" s="18">
        <v>0</v>
      </c>
      <c r="K273" s="17">
        <v>2550</v>
      </c>
      <c r="L273" s="17">
        <v>1560</v>
      </c>
      <c r="M273" s="17">
        <v>990</v>
      </c>
      <c r="N273" s="18">
        <v>0.38819999999999999</v>
      </c>
    </row>
    <row r="274" spans="1:14" ht="14.5" x14ac:dyDescent="0.35">
      <c r="A274" s="9" t="s">
        <v>478</v>
      </c>
      <c r="B274" s="15">
        <v>45853</v>
      </c>
      <c r="C274" s="9" t="s">
        <v>159</v>
      </c>
      <c r="D274" s="9" t="s">
        <v>142</v>
      </c>
      <c r="E274" s="9" t="s">
        <v>29</v>
      </c>
      <c r="F274" s="9" t="s">
        <v>30</v>
      </c>
      <c r="G274" s="9" t="s">
        <v>53</v>
      </c>
      <c r="H274" s="16">
        <v>3</v>
      </c>
      <c r="I274" s="17">
        <v>280</v>
      </c>
      <c r="J274" s="18">
        <v>0</v>
      </c>
      <c r="K274" s="17">
        <v>840</v>
      </c>
      <c r="L274" s="17">
        <v>510</v>
      </c>
      <c r="M274" s="17">
        <v>330</v>
      </c>
      <c r="N274" s="18">
        <v>0.39290000000000003</v>
      </c>
    </row>
    <row r="275" spans="1:14" ht="14.5" x14ac:dyDescent="0.35">
      <c r="A275" s="9" t="s">
        <v>479</v>
      </c>
      <c r="B275" s="15">
        <v>45853</v>
      </c>
      <c r="C275" s="9" t="s">
        <v>102</v>
      </c>
      <c r="D275" s="9" t="s">
        <v>142</v>
      </c>
      <c r="E275" s="9" t="s">
        <v>29</v>
      </c>
      <c r="F275" s="9" t="s">
        <v>24</v>
      </c>
      <c r="G275" s="9" t="s">
        <v>19</v>
      </c>
      <c r="H275" s="16">
        <v>10</v>
      </c>
      <c r="I275" s="17">
        <v>280</v>
      </c>
      <c r="J275" s="18">
        <v>0</v>
      </c>
      <c r="K275" s="17">
        <v>2800</v>
      </c>
      <c r="L275" s="17">
        <v>1700</v>
      </c>
      <c r="M275" s="17">
        <v>1100</v>
      </c>
      <c r="N275" s="18">
        <v>0.39290000000000003</v>
      </c>
    </row>
    <row r="276" spans="1:14" ht="14.5" x14ac:dyDescent="0.35">
      <c r="A276" s="9" t="s">
        <v>480</v>
      </c>
      <c r="B276" s="15">
        <v>45854</v>
      </c>
      <c r="C276" s="9" t="s">
        <v>261</v>
      </c>
      <c r="D276" s="9" t="s">
        <v>33</v>
      </c>
      <c r="E276" s="9" t="s">
        <v>34</v>
      </c>
      <c r="F276" s="9" t="s">
        <v>38</v>
      </c>
      <c r="G276" s="9" t="s">
        <v>35</v>
      </c>
      <c r="H276" s="16">
        <v>7</v>
      </c>
      <c r="I276" s="17">
        <v>320</v>
      </c>
      <c r="J276" s="18">
        <v>0.1</v>
      </c>
      <c r="K276" s="17">
        <v>2016</v>
      </c>
      <c r="L276" s="17">
        <v>1365</v>
      </c>
      <c r="M276" s="17">
        <v>651</v>
      </c>
      <c r="N276" s="18">
        <v>0.32290000000000002</v>
      </c>
    </row>
    <row r="277" spans="1:14" ht="14.5" x14ac:dyDescent="0.35">
      <c r="A277" s="9" t="s">
        <v>481</v>
      </c>
      <c r="B277" s="15">
        <v>45854</v>
      </c>
      <c r="C277" s="9" t="s">
        <v>482</v>
      </c>
      <c r="D277" s="9" t="s">
        <v>43</v>
      </c>
      <c r="E277" s="9" t="s">
        <v>23</v>
      </c>
      <c r="F277" s="9" t="s">
        <v>18</v>
      </c>
      <c r="G277" s="9" t="s">
        <v>49</v>
      </c>
      <c r="H277" s="16">
        <v>2</v>
      </c>
      <c r="I277" s="17">
        <v>75</v>
      </c>
      <c r="J277" s="18">
        <v>0.05</v>
      </c>
      <c r="K277" s="17">
        <v>142.5</v>
      </c>
      <c r="L277" s="17">
        <v>80</v>
      </c>
      <c r="M277" s="17">
        <v>62.5</v>
      </c>
      <c r="N277" s="18">
        <v>0.43859999999999999</v>
      </c>
    </row>
    <row r="278" spans="1:14" ht="14.5" x14ac:dyDescent="0.35">
      <c r="A278" s="9" t="s">
        <v>483</v>
      </c>
      <c r="B278" s="15">
        <v>45858</v>
      </c>
      <c r="C278" s="9" t="s">
        <v>107</v>
      </c>
      <c r="D278" s="9" t="s">
        <v>43</v>
      </c>
      <c r="E278" s="9" t="s">
        <v>23</v>
      </c>
      <c r="F278" s="9" t="s">
        <v>38</v>
      </c>
      <c r="G278" s="9" t="s">
        <v>46</v>
      </c>
      <c r="H278" s="16">
        <v>6</v>
      </c>
      <c r="I278" s="17">
        <v>75</v>
      </c>
      <c r="J278" s="18">
        <v>0.1</v>
      </c>
      <c r="K278" s="17">
        <v>405</v>
      </c>
      <c r="L278" s="17">
        <v>240</v>
      </c>
      <c r="M278" s="17">
        <v>165</v>
      </c>
      <c r="N278" s="18">
        <v>0.40739999999999998</v>
      </c>
    </row>
    <row r="279" spans="1:14" ht="14.5" x14ac:dyDescent="0.35">
      <c r="A279" s="9" t="s">
        <v>484</v>
      </c>
      <c r="B279" s="15">
        <v>45859</v>
      </c>
      <c r="C279" s="9" t="s">
        <v>62</v>
      </c>
      <c r="D279" s="9" t="s">
        <v>28</v>
      </c>
      <c r="E279" s="9" t="s">
        <v>29</v>
      </c>
      <c r="F279" s="9" t="s">
        <v>24</v>
      </c>
      <c r="G279" s="9" t="s">
        <v>46</v>
      </c>
      <c r="H279" s="16">
        <v>3</v>
      </c>
      <c r="I279" s="17">
        <v>850</v>
      </c>
      <c r="J279" s="18">
        <v>0.05</v>
      </c>
      <c r="K279" s="17">
        <v>2422.5</v>
      </c>
      <c r="L279" s="17">
        <v>1560</v>
      </c>
      <c r="M279" s="17">
        <v>862.5</v>
      </c>
      <c r="N279" s="18">
        <v>0.35599999999999998</v>
      </c>
    </row>
    <row r="280" spans="1:14" ht="14.5" x14ac:dyDescent="0.35">
      <c r="A280" s="9" t="s">
        <v>485</v>
      </c>
      <c r="B280" s="15">
        <v>45859</v>
      </c>
      <c r="C280" s="9" t="s">
        <v>119</v>
      </c>
      <c r="D280" s="9" t="s">
        <v>43</v>
      </c>
      <c r="E280" s="9" t="s">
        <v>23</v>
      </c>
      <c r="F280" s="9" t="s">
        <v>18</v>
      </c>
      <c r="G280" s="9" t="s">
        <v>49</v>
      </c>
      <c r="H280" s="16">
        <v>7</v>
      </c>
      <c r="I280" s="17">
        <v>75</v>
      </c>
      <c r="J280" s="18">
        <v>0</v>
      </c>
      <c r="K280" s="17">
        <v>525</v>
      </c>
      <c r="L280" s="17">
        <v>280</v>
      </c>
      <c r="M280" s="17">
        <v>245</v>
      </c>
      <c r="N280" s="18">
        <v>0.4667</v>
      </c>
    </row>
    <row r="281" spans="1:14" ht="14.5" x14ac:dyDescent="0.35">
      <c r="A281" s="9" t="s">
        <v>486</v>
      </c>
      <c r="B281" s="15">
        <v>45860</v>
      </c>
      <c r="C281" s="9" t="s">
        <v>349</v>
      </c>
      <c r="D281" s="9" t="s">
        <v>33</v>
      </c>
      <c r="E281" s="9" t="s">
        <v>34</v>
      </c>
      <c r="F281" s="9" t="s">
        <v>30</v>
      </c>
      <c r="G281" s="9" t="s">
        <v>53</v>
      </c>
      <c r="H281" s="16">
        <v>1</v>
      </c>
      <c r="I281" s="17">
        <v>320</v>
      </c>
      <c r="J281" s="18">
        <v>0.05</v>
      </c>
      <c r="K281" s="17">
        <v>304</v>
      </c>
      <c r="L281" s="17">
        <v>195</v>
      </c>
      <c r="M281" s="17">
        <v>109</v>
      </c>
      <c r="N281" s="18">
        <v>0.35859999999999997</v>
      </c>
    </row>
    <row r="282" spans="1:14" ht="14.5" x14ac:dyDescent="0.35">
      <c r="A282" s="9" t="s">
        <v>487</v>
      </c>
      <c r="B282" s="15">
        <v>45861</v>
      </c>
      <c r="C282" s="9" t="s">
        <v>246</v>
      </c>
      <c r="D282" s="9" t="s">
        <v>28</v>
      </c>
      <c r="E282" s="9" t="s">
        <v>29</v>
      </c>
      <c r="F282" s="9" t="s">
        <v>18</v>
      </c>
      <c r="G282" s="9" t="s">
        <v>35</v>
      </c>
      <c r="H282" s="16">
        <v>2</v>
      </c>
      <c r="I282" s="17">
        <v>850</v>
      </c>
      <c r="J282" s="18">
        <v>0.05</v>
      </c>
      <c r="K282" s="17">
        <v>1615</v>
      </c>
      <c r="L282" s="17">
        <v>1040</v>
      </c>
      <c r="M282" s="17">
        <v>575</v>
      </c>
      <c r="N282" s="18">
        <v>0.35599999999999998</v>
      </c>
    </row>
    <row r="283" spans="1:14" ht="14.5" x14ac:dyDescent="0.35">
      <c r="A283" s="9" t="s">
        <v>488</v>
      </c>
      <c r="B283" s="15">
        <v>45862</v>
      </c>
      <c r="C283" s="9" t="s">
        <v>374</v>
      </c>
      <c r="D283" s="9" t="s">
        <v>33</v>
      </c>
      <c r="E283" s="9" t="s">
        <v>34</v>
      </c>
      <c r="F283" s="9" t="s">
        <v>30</v>
      </c>
      <c r="G283" s="9" t="s">
        <v>53</v>
      </c>
      <c r="H283" s="16">
        <v>3</v>
      </c>
      <c r="I283" s="17">
        <v>320</v>
      </c>
      <c r="J283" s="18">
        <v>0</v>
      </c>
      <c r="K283" s="17">
        <v>960</v>
      </c>
      <c r="L283" s="17">
        <v>585</v>
      </c>
      <c r="M283" s="17">
        <v>375</v>
      </c>
      <c r="N283" s="18">
        <v>0.3906</v>
      </c>
    </row>
    <row r="284" spans="1:14" ht="14.5" x14ac:dyDescent="0.35">
      <c r="A284" s="9" t="s">
        <v>489</v>
      </c>
      <c r="B284" s="15">
        <v>45862</v>
      </c>
      <c r="C284" s="9" t="s">
        <v>490</v>
      </c>
      <c r="D284" s="9" t="s">
        <v>43</v>
      </c>
      <c r="E284" s="9" t="s">
        <v>23</v>
      </c>
      <c r="F284" s="9" t="s">
        <v>18</v>
      </c>
      <c r="G284" s="9" t="s">
        <v>46</v>
      </c>
      <c r="H284" s="16">
        <v>2</v>
      </c>
      <c r="I284" s="17">
        <v>75</v>
      </c>
      <c r="J284" s="18">
        <v>0.05</v>
      </c>
      <c r="K284" s="17">
        <v>142.5</v>
      </c>
      <c r="L284" s="17">
        <v>80</v>
      </c>
      <c r="M284" s="17">
        <v>62.5</v>
      </c>
      <c r="N284" s="18">
        <v>0.43859999999999999</v>
      </c>
    </row>
    <row r="285" spans="1:14" ht="14.5" x14ac:dyDescent="0.35">
      <c r="A285" s="9" t="s">
        <v>491</v>
      </c>
      <c r="B285" s="15">
        <v>45863</v>
      </c>
      <c r="C285" s="9" t="s">
        <v>492</v>
      </c>
      <c r="D285" s="9" t="s">
        <v>33</v>
      </c>
      <c r="E285" s="9" t="s">
        <v>34</v>
      </c>
      <c r="F285" s="9" t="s">
        <v>24</v>
      </c>
      <c r="G285" s="9" t="s">
        <v>53</v>
      </c>
      <c r="H285" s="16">
        <v>6</v>
      </c>
      <c r="I285" s="17">
        <v>320</v>
      </c>
      <c r="J285" s="18">
        <v>0.05</v>
      </c>
      <c r="K285" s="17">
        <v>1824</v>
      </c>
      <c r="L285" s="17">
        <v>1170</v>
      </c>
      <c r="M285" s="17">
        <v>654</v>
      </c>
      <c r="N285" s="18">
        <v>0.35859999999999997</v>
      </c>
    </row>
    <row r="286" spans="1:14" ht="14.5" x14ac:dyDescent="0.35">
      <c r="A286" s="9" t="s">
        <v>493</v>
      </c>
      <c r="B286" s="15">
        <v>45864</v>
      </c>
      <c r="C286" s="9" t="s">
        <v>430</v>
      </c>
      <c r="D286" s="9" t="s">
        <v>43</v>
      </c>
      <c r="E286" s="9" t="s">
        <v>23</v>
      </c>
      <c r="F286" s="9" t="s">
        <v>38</v>
      </c>
      <c r="G286" s="9" t="s">
        <v>25</v>
      </c>
      <c r="H286" s="16">
        <v>8</v>
      </c>
      <c r="I286" s="17">
        <v>75</v>
      </c>
      <c r="J286" s="18">
        <v>0.02</v>
      </c>
      <c r="K286" s="17">
        <v>588</v>
      </c>
      <c r="L286" s="17">
        <v>320</v>
      </c>
      <c r="M286" s="17">
        <v>268</v>
      </c>
      <c r="N286" s="18">
        <v>0.45579999999999998</v>
      </c>
    </row>
    <row r="287" spans="1:14" ht="14.5" x14ac:dyDescent="0.35">
      <c r="A287" s="9" t="s">
        <v>494</v>
      </c>
      <c r="B287" s="15">
        <v>45869</v>
      </c>
      <c r="C287" s="9" t="s">
        <v>416</v>
      </c>
      <c r="D287" s="9" t="s">
        <v>28</v>
      </c>
      <c r="E287" s="9" t="s">
        <v>29</v>
      </c>
      <c r="F287" s="9" t="s">
        <v>24</v>
      </c>
      <c r="G287" s="9" t="s">
        <v>25</v>
      </c>
      <c r="H287" s="16">
        <v>2</v>
      </c>
      <c r="I287" s="17">
        <v>850</v>
      </c>
      <c r="J287" s="18">
        <v>0.05</v>
      </c>
      <c r="K287" s="17">
        <v>1615</v>
      </c>
      <c r="L287" s="17">
        <v>1040</v>
      </c>
      <c r="M287" s="17">
        <v>575</v>
      </c>
      <c r="N287" s="18">
        <v>0.35599999999999998</v>
      </c>
    </row>
    <row r="288" spans="1:14" ht="14.5" x14ac:dyDescent="0.35">
      <c r="A288" s="9" t="s">
        <v>495</v>
      </c>
      <c r="B288" s="15">
        <v>45870</v>
      </c>
      <c r="C288" s="9" t="s">
        <v>340</v>
      </c>
      <c r="D288" s="9" t="s">
        <v>16</v>
      </c>
      <c r="E288" s="9" t="s">
        <v>17</v>
      </c>
      <c r="F288" s="9" t="s">
        <v>30</v>
      </c>
      <c r="G288" s="9" t="s">
        <v>46</v>
      </c>
      <c r="H288" s="16">
        <v>2</v>
      </c>
      <c r="I288" s="17">
        <v>210</v>
      </c>
      <c r="J288" s="18">
        <v>0.05</v>
      </c>
      <c r="K288" s="17">
        <v>399</v>
      </c>
      <c r="L288" s="17">
        <v>250</v>
      </c>
      <c r="M288" s="17">
        <v>149</v>
      </c>
      <c r="N288" s="18">
        <v>0.37340000000000001</v>
      </c>
    </row>
    <row r="289" spans="1:14" ht="14.5" x14ac:dyDescent="0.35">
      <c r="A289" s="9" t="s">
        <v>496</v>
      </c>
      <c r="B289" s="15">
        <v>45872</v>
      </c>
      <c r="C289" s="9" t="s">
        <v>281</v>
      </c>
      <c r="D289" s="9" t="s">
        <v>43</v>
      </c>
      <c r="E289" s="9" t="s">
        <v>23</v>
      </c>
      <c r="F289" s="9" t="s">
        <v>24</v>
      </c>
      <c r="G289" s="9" t="s">
        <v>53</v>
      </c>
      <c r="H289" s="16">
        <v>3</v>
      </c>
      <c r="I289" s="17">
        <v>75</v>
      </c>
      <c r="J289" s="18">
        <v>0.02</v>
      </c>
      <c r="K289" s="17">
        <v>220.5</v>
      </c>
      <c r="L289" s="17">
        <v>120</v>
      </c>
      <c r="M289" s="17">
        <v>100.5</v>
      </c>
      <c r="N289" s="18">
        <v>0.45579999999999998</v>
      </c>
    </row>
    <row r="290" spans="1:14" ht="14.5" x14ac:dyDescent="0.35">
      <c r="A290" s="9" t="s">
        <v>497</v>
      </c>
      <c r="B290" s="15">
        <v>45872</v>
      </c>
      <c r="C290" s="9" t="s">
        <v>127</v>
      </c>
      <c r="D290" s="9" t="s">
        <v>28</v>
      </c>
      <c r="E290" s="9" t="s">
        <v>29</v>
      </c>
      <c r="F290" s="9" t="s">
        <v>38</v>
      </c>
      <c r="G290" s="9" t="s">
        <v>25</v>
      </c>
      <c r="H290" s="16">
        <v>10</v>
      </c>
      <c r="I290" s="17">
        <v>850</v>
      </c>
      <c r="J290" s="18">
        <v>0</v>
      </c>
      <c r="K290" s="17">
        <v>8500</v>
      </c>
      <c r="L290" s="17">
        <v>5200</v>
      </c>
      <c r="M290" s="17">
        <v>3300</v>
      </c>
      <c r="N290" s="18">
        <v>0.38819999999999999</v>
      </c>
    </row>
    <row r="291" spans="1:14" ht="14.5" x14ac:dyDescent="0.35">
      <c r="A291" s="9" t="s">
        <v>498</v>
      </c>
      <c r="B291" s="15">
        <v>45872</v>
      </c>
      <c r="C291" s="9" t="s">
        <v>135</v>
      </c>
      <c r="D291" s="9" t="s">
        <v>28</v>
      </c>
      <c r="E291" s="9" t="s">
        <v>29</v>
      </c>
      <c r="F291" s="9" t="s">
        <v>18</v>
      </c>
      <c r="G291" s="9" t="s">
        <v>25</v>
      </c>
      <c r="H291" s="16">
        <v>7</v>
      </c>
      <c r="I291" s="17">
        <v>850</v>
      </c>
      <c r="J291" s="18">
        <v>0</v>
      </c>
      <c r="K291" s="17">
        <v>5950</v>
      </c>
      <c r="L291" s="17">
        <v>3640</v>
      </c>
      <c r="M291" s="17">
        <v>2310</v>
      </c>
      <c r="N291" s="18">
        <v>0.38819999999999999</v>
      </c>
    </row>
    <row r="292" spans="1:14" ht="14.5" x14ac:dyDescent="0.35">
      <c r="A292" s="9" t="s">
        <v>499</v>
      </c>
      <c r="B292" s="15">
        <v>45874</v>
      </c>
      <c r="C292" s="9" t="s">
        <v>163</v>
      </c>
      <c r="D292" s="9" t="s">
        <v>16</v>
      </c>
      <c r="E292" s="9" t="s">
        <v>17</v>
      </c>
      <c r="F292" s="9" t="s">
        <v>24</v>
      </c>
      <c r="G292" s="9" t="s">
        <v>25</v>
      </c>
      <c r="H292" s="16">
        <v>4</v>
      </c>
      <c r="I292" s="17">
        <v>210</v>
      </c>
      <c r="J292" s="18">
        <v>0</v>
      </c>
      <c r="K292" s="17">
        <v>840</v>
      </c>
      <c r="L292" s="17">
        <v>500</v>
      </c>
      <c r="M292" s="17">
        <v>340</v>
      </c>
      <c r="N292" s="18">
        <v>0.40479999999999999</v>
      </c>
    </row>
    <row r="293" spans="1:14" ht="14.5" x14ac:dyDescent="0.35">
      <c r="A293" s="9" t="s">
        <v>500</v>
      </c>
      <c r="B293" s="15">
        <v>45874</v>
      </c>
      <c r="C293" s="9" t="s">
        <v>62</v>
      </c>
      <c r="D293" s="9" t="s">
        <v>16</v>
      </c>
      <c r="E293" s="9" t="s">
        <v>17</v>
      </c>
      <c r="F293" s="9" t="s">
        <v>38</v>
      </c>
      <c r="G293" s="9" t="s">
        <v>49</v>
      </c>
      <c r="H293" s="16">
        <v>10</v>
      </c>
      <c r="I293" s="17">
        <v>210</v>
      </c>
      <c r="J293" s="18">
        <v>0.1</v>
      </c>
      <c r="K293" s="17">
        <v>1890</v>
      </c>
      <c r="L293" s="17">
        <v>1250</v>
      </c>
      <c r="M293" s="17">
        <v>640</v>
      </c>
      <c r="N293" s="18">
        <v>0.33860000000000001</v>
      </c>
    </row>
    <row r="294" spans="1:14" ht="14.5" x14ac:dyDescent="0.35">
      <c r="A294" s="9" t="s">
        <v>501</v>
      </c>
      <c r="B294" s="15">
        <v>45874</v>
      </c>
      <c r="C294" s="9" t="s">
        <v>119</v>
      </c>
      <c r="D294" s="9" t="s">
        <v>60</v>
      </c>
      <c r="E294" s="9" t="s">
        <v>34</v>
      </c>
      <c r="F294" s="9" t="s">
        <v>18</v>
      </c>
      <c r="G294" s="9" t="s">
        <v>19</v>
      </c>
      <c r="H294" s="16">
        <v>3</v>
      </c>
      <c r="I294" s="17">
        <v>240</v>
      </c>
      <c r="J294" s="18">
        <v>0.15</v>
      </c>
      <c r="K294" s="17">
        <v>612</v>
      </c>
      <c r="L294" s="17">
        <v>435</v>
      </c>
      <c r="M294" s="17">
        <v>177</v>
      </c>
      <c r="N294" s="18">
        <v>0.28920000000000001</v>
      </c>
    </row>
    <row r="295" spans="1:14" ht="14.5" x14ac:dyDescent="0.35">
      <c r="A295" s="9" t="s">
        <v>502</v>
      </c>
      <c r="B295" s="15">
        <v>45874</v>
      </c>
      <c r="C295" s="9" t="s">
        <v>89</v>
      </c>
      <c r="D295" s="9" t="s">
        <v>33</v>
      </c>
      <c r="E295" s="9" t="s">
        <v>34</v>
      </c>
      <c r="F295" s="9" t="s">
        <v>24</v>
      </c>
      <c r="G295" s="9" t="s">
        <v>53</v>
      </c>
      <c r="H295" s="16">
        <v>4</v>
      </c>
      <c r="I295" s="17">
        <v>320</v>
      </c>
      <c r="J295" s="18">
        <v>0</v>
      </c>
      <c r="K295" s="17">
        <v>1280</v>
      </c>
      <c r="L295" s="17">
        <v>780</v>
      </c>
      <c r="M295" s="17">
        <v>500</v>
      </c>
      <c r="N295" s="18">
        <v>0.3906</v>
      </c>
    </row>
    <row r="296" spans="1:14" ht="14.5" x14ac:dyDescent="0.35">
      <c r="A296" s="9" t="s">
        <v>503</v>
      </c>
      <c r="B296" s="15">
        <v>45874</v>
      </c>
      <c r="C296" s="9" t="s">
        <v>504</v>
      </c>
      <c r="D296" s="9" t="s">
        <v>22</v>
      </c>
      <c r="E296" s="9" t="s">
        <v>23</v>
      </c>
      <c r="F296" s="9" t="s">
        <v>18</v>
      </c>
      <c r="G296" s="9" t="s">
        <v>35</v>
      </c>
      <c r="H296" s="16">
        <v>3</v>
      </c>
      <c r="I296" s="17">
        <v>65</v>
      </c>
      <c r="J296" s="18">
        <v>0.1</v>
      </c>
      <c r="K296" s="17">
        <v>175.5</v>
      </c>
      <c r="L296" s="17">
        <v>105</v>
      </c>
      <c r="M296" s="17">
        <v>70.5</v>
      </c>
      <c r="N296" s="18">
        <v>0.4017</v>
      </c>
    </row>
    <row r="297" spans="1:14" ht="14.5" x14ac:dyDescent="0.35">
      <c r="A297" s="9" t="s">
        <v>505</v>
      </c>
      <c r="B297" s="15">
        <v>45875</v>
      </c>
      <c r="C297" s="9" t="s">
        <v>166</v>
      </c>
      <c r="D297" s="9" t="s">
        <v>52</v>
      </c>
      <c r="E297" s="9" t="s">
        <v>23</v>
      </c>
      <c r="F297" s="9" t="s">
        <v>38</v>
      </c>
      <c r="G297" s="9" t="s">
        <v>53</v>
      </c>
      <c r="H297" s="16">
        <v>2</v>
      </c>
      <c r="I297" s="17">
        <v>35</v>
      </c>
      <c r="J297" s="18">
        <v>0.05</v>
      </c>
      <c r="K297" s="17">
        <v>66.5</v>
      </c>
      <c r="L297" s="17">
        <v>36</v>
      </c>
      <c r="M297" s="17">
        <v>30.5</v>
      </c>
      <c r="N297" s="18">
        <v>0.45860000000000001</v>
      </c>
    </row>
    <row r="298" spans="1:14" ht="14.5" x14ac:dyDescent="0.35">
      <c r="A298" s="9" t="s">
        <v>506</v>
      </c>
      <c r="B298" s="15">
        <v>45877</v>
      </c>
      <c r="C298" s="9" t="s">
        <v>303</v>
      </c>
      <c r="D298" s="9" t="s">
        <v>142</v>
      </c>
      <c r="E298" s="9" t="s">
        <v>29</v>
      </c>
      <c r="F298" s="9" t="s">
        <v>30</v>
      </c>
      <c r="G298" s="9" t="s">
        <v>25</v>
      </c>
      <c r="H298" s="16">
        <v>2</v>
      </c>
      <c r="I298" s="17">
        <v>280</v>
      </c>
      <c r="J298" s="18">
        <v>0.02</v>
      </c>
      <c r="K298" s="17">
        <v>548.79999999999995</v>
      </c>
      <c r="L298" s="17">
        <v>340</v>
      </c>
      <c r="M298" s="17">
        <v>208.8</v>
      </c>
      <c r="N298" s="18">
        <v>0.3805</v>
      </c>
    </row>
    <row r="299" spans="1:14" ht="14.5" x14ac:dyDescent="0.35">
      <c r="A299" s="9" t="s">
        <v>507</v>
      </c>
      <c r="B299" s="15">
        <v>45877</v>
      </c>
      <c r="C299" s="9" t="s">
        <v>490</v>
      </c>
      <c r="D299" s="9" t="s">
        <v>33</v>
      </c>
      <c r="E299" s="9" t="s">
        <v>34</v>
      </c>
      <c r="F299" s="9" t="s">
        <v>24</v>
      </c>
      <c r="G299" s="9" t="s">
        <v>25</v>
      </c>
      <c r="H299" s="16">
        <v>2</v>
      </c>
      <c r="I299" s="17">
        <v>320</v>
      </c>
      <c r="J299" s="18">
        <v>0.02</v>
      </c>
      <c r="K299" s="17">
        <v>627.20000000000005</v>
      </c>
      <c r="L299" s="17">
        <v>390</v>
      </c>
      <c r="M299" s="17">
        <v>237.2</v>
      </c>
      <c r="N299" s="18">
        <v>0.37819999999999998</v>
      </c>
    </row>
    <row r="300" spans="1:14" ht="14.5" x14ac:dyDescent="0.35">
      <c r="A300" s="9" t="s">
        <v>508</v>
      </c>
      <c r="B300" s="15">
        <v>45877</v>
      </c>
      <c r="C300" s="9" t="s">
        <v>509</v>
      </c>
      <c r="D300" s="9" t="s">
        <v>28</v>
      </c>
      <c r="E300" s="9" t="s">
        <v>29</v>
      </c>
      <c r="F300" s="9" t="s">
        <v>24</v>
      </c>
      <c r="G300" s="9" t="s">
        <v>53</v>
      </c>
      <c r="H300" s="16">
        <v>4</v>
      </c>
      <c r="I300" s="17">
        <v>850</v>
      </c>
      <c r="J300" s="18">
        <v>0.05</v>
      </c>
      <c r="K300" s="17">
        <v>3230</v>
      </c>
      <c r="L300" s="17">
        <v>2080</v>
      </c>
      <c r="M300" s="17">
        <v>1150</v>
      </c>
      <c r="N300" s="18">
        <v>0.35599999999999998</v>
      </c>
    </row>
    <row r="301" spans="1:14" ht="14.5" x14ac:dyDescent="0.35">
      <c r="A301" s="9" t="s">
        <v>510</v>
      </c>
      <c r="B301" s="15">
        <v>45877</v>
      </c>
      <c r="C301" s="9" t="s">
        <v>511</v>
      </c>
      <c r="D301" s="9" t="s">
        <v>22</v>
      </c>
      <c r="E301" s="9" t="s">
        <v>23</v>
      </c>
      <c r="F301" s="9" t="s">
        <v>18</v>
      </c>
      <c r="G301" s="9" t="s">
        <v>19</v>
      </c>
      <c r="H301" s="16">
        <v>2</v>
      </c>
      <c r="I301" s="17">
        <v>65</v>
      </c>
      <c r="J301" s="18">
        <v>0.02</v>
      </c>
      <c r="K301" s="17">
        <v>127.4</v>
      </c>
      <c r="L301" s="17">
        <v>70</v>
      </c>
      <c r="M301" s="17">
        <v>57.4</v>
      </c>
      <c r="N301" s="18">
        <v>0.45050000000000001</v>
      </c>
    </row>
    <row r="302" spans="1:14" ht="14.5" x14ac:dyDescent="0.35">
      <c r="A302" s="9" t="s">
        <v>512</v>
      </c>
      <c r="B302" s="15">
        <v>45878</v>
      </c>
      <c r="C302" s="9" t="s">
        <v>159</v>
      </c>
      <c r="D302" s="9" t="s">
        <v>22</v>
      </c>
      <c r="E302" s="9" t="s">
        <v>23</v>
      </c>
      <c r="F302" s="9" t="s">
        <v>30</v>
      </c>
      <c r="G302" s="9" t="s">
        <v>46</v>
      </c>
      <c r="H302" s="16">
        <v>10</v>
      </c>
      <c r="I302" s="17">
        <v>65</v>
      </c>
      <c r="J302" s="18">
        <v>0</v>
      </c>
      <c r="K302" s="17">
        <v>650</v>
      </c>
      <c r="L302" s="17">
        <v>350</v>
      </c>
      <c r="M302" s="17">
        <v>300</v>
      </c>
      <c r="N302" s="18">
        <v>0.46150000000000002</v>
      </c>
    </row>
    <row r="303" spans="1:14" ht="14.5" x14ac:dyDescent="0.35">
      <c r="A303" s="9" t="s">
        <v>513</v>
      </c>
      <c r="B303" s="15">
        <v>45879</v>
      </c>
      <c r="C303" s="9" t="s">
        <v>514</v>
      </c>
      <c r="D303" s="9" t="s">
        <v>16</v>
      </c>
      <c r="E303" s="9" t="s">
        <v>17</v>
      </c>
      <c r="F303" s="9" t="s">
        <v>24</v>
      </c>
      <c r="G303" s="9" t="s">
        <v>25</v>
      </c>
      <c r="H303" s="16">
        <v>6</v>
      </c>
      <c r="I303" s="17">
        <v>210</v>
      </c>
      <c r="J303" s="18">
        <v>0.1</v>
      </c>
      <c r="K303" s="17">
        <v>1134</v>
      </c>
      <c r="L303" s="17">
        <v>750</v>
      </c>
      <c r="M303" s="17">
        <v>384</v>
      </c>
      <c r="N303" s="18">
        <v>0.33860000000000001</v>
      </c>
    </row>
    <row r="304" spans="1:14" ht="14.5" x14ac:dyDescent="0.35">
      <c r="A304" s="9" t="s">
        <v>515</v>
      </c>
      <c r="B304" s="15">
        <v>45879</v>
      </c>
      <c r="C304" s="9" t="s">
        <v>57</v>
      </c>
      <c r="D304" s="9" t="s">
        <v>52</v>
      </c>
      <c r="E304" s="9" t="s">
        <v>23</v>
      </c>
      <c r="F304" s="9" t="s">
        <v>30</v>
      </c>
      <c r="G304" s="9" t="s">
        <v>25</v>
      </c>
      <c r="H304" s="16">
        <v>7</v>
      </c>
      <c r="I304" s="17">
        <v>35</v>
      </c>
      <c r="J304" s="18">
        <v>0</v>
      </c>
      <c r="K304" s="17">
        <v>245</v>
      </c>
      <c r="L304" s="17">
        <v>126</v>
      </c>
      <c r="M304" s="17">
        <v>119</v>
      </c>
      <c r="N304" s="18">
        <v>0.48570000000000002</v>
      </c>
    </row>
    <row r="305" spans="1:14" ht="14.5" x14ac:dyDescent="0.35">
      <c r="A305" s="9" t="s">
        <v>516</v>
      </c>
      <c r="B305" s="15">
        <v>45880</v>
      </c>
      <c r="C305" s="9" t="s">
        <v>196</v>
      </c>
      <c r="D305" s="9" t="s">
        <v>16</v>
      </c>
      <c r="E305" s="9" t="s">
        <v>17</v>
      </c>
      <c r="F305" s="9" t="s">
        <v>24</v>
      </c>
      <c r="G305" s="9" t="s">
        <v>19</v>
      </c>
      <c r="H305" s="16">
        <v>1</v>
      </c>
      <c r="I305" s="17">
        <v>210</v>
      </c>
      <c r="J305" s="18">
        <v>0.1</v>
      </c>
      <c r="K305" s="17">
        <v>189</v>
      </c>
      <c r="L305" s="17">
        <v>125</v>
      </c>
      <c r="M305" s="17">
        <v>64</v>
      </c>
      <c r="N305" s="18">
        <v>0.33860000000000001</v>
      </c>
    </row>
    <row r="306" spans="1:14" ht="14.5" x14ac:dyDescent="0.35">
      <c r="A306" s="9" t="s">
        <v>517</v>
      </c>
      <c r="B306" s="15">
        <v>45880</v>
      </c>
      <c r="C306" s="9" t="s">
        <v>200</v>
      </c>
      <c r="D306" s="9" t="s">
        <v>43</v>
      </c>
      <c r="E306" s="9" t="s">
        <v>23</v>
      </c>
      <c r="F306" s="9" t="s">
        <v>30</v>
      </c>
      <c r="G306" s="9" t="s">
        <v>25</v>
      </c>
      <c r="H306" s="16">
        <v>4</v>
      </c>
      <c r="I306" s="17">
        <v>75</v>
      </c>
      <c r="J306" s="18">
        <v>0.05</v>
      </c>
      <c r="K306" s="17">
        <v>285</v>
      </c>
      <c r="L306" s="17">
        <v>160</v>
      </c>
      <c r="M306" s="17">
        <v>125</v>
      </c>
      <c r="N306" s="18">
        <v>0.43859999999999999</v>
      </c>
    </row>
    <row r="307" spans="1:14" ht="14.5" x14ac:dyDescent="0.35">
      <c r="A307" s="9" t="s">
        <v>518</v>
      </c>
      <c r="B307" s="15">
        <v>45880</v>
      </c>
      <c r="C307" s="9" t="s">
        <v>519</v>
      </c>
      <c r="D307" s="9" t="s">
        <v>28</v>
      </c>
      <c r="E307" s="9" t="s">
        <v>29</v>
      </c>
      <c r="F307" s="9" t="s">
        <v>38</v>
      </c>
      <c r="G307" s="9" t="s">
        <v>49</v>
      </c>
      <c r="H307" s="16">
        <v>9</v>
      </c>
      <c r="I307" s="17">
        <v>850</v>
      </c>
      <c r="J307" s="18">
        <v>0.1</v>
      </c>
      <c r="K307" s="17">
        <v>6885</v>
      </c>
      <c r="L307" s="17">
        <v>4680</v>
      </c>
      <c r="M307" s="17">
        <v>2205</v>
      </c>
      <c r="N307" s="18">
        <v>0.32029999999999997</v>
      </c>
    </row>
    <row r="308" spans="1:14" ht="14.5" x14ac:dyDescent="0.35">
      <c r="A308" s="9" t="s">
        <v>520</v>
      </c>
      <c r="B308" s="15">
        <v>45880</v>
      </c>
      <c r="C308" s="9" t="s">
        <v>521</v>
      </c>
      <c r="D308" s="9" t="s">
        <v>16</v>
      </c>
      <c r="E308" s="9" t="s">
        <v>17</v>
      </c>
      <c r="F308" s="9" t="s">
        <v>38</v>
      </c>
      <c r="G308" s="9" t="s">
        <v>35</v>
      </c>
      <c r="H308" s="16">
        <v>1</v>
      </c>
      <c r="I308" s="17">
        <v>210</v>
      </c>
      <c r="J308" s="18">
        <v>0.05</v>
      </c>
      <c r="K308" s="17">
        <v>199.5</v>
      </c>
      <c r="L308" s="17">
        <v>125</v>
      </c>
      <c r="M308" s="17">
        <v>74.5</v>
      </c>
      <c r="N308" s="18">
        <v>0.37340000000000001</v>
      </c>
    </row>
    <row r="309" spans="1:14" ht="14.5" x14ac:dyDescent="0.35">
      <c r="A309" s="9" t="s">
        <v>522</v>
      </c>
      <c r="B309" s="15">
        <v>45881</v>
      </c>
      <c r="C309" s="9" t="s">
        <v>295</v>
      </c>
      <c r="D309" s="9" t="s">
        <v>52</v>
      </c>
      <c r="E309" s="9" t="s">
        <v>23</v>
      </c>
      <c r="F309" s="9" t="s">
        <v>24</v>
      </c>
      <c r="G309" s="9" t="s">
        <v>35</v>
      </c>
      <c r="H309" s="16">
        <v>4</v>
      </c>
      <c r="I309" s="17">
        <v>35</v>
      </c>
      <c r="J309" s="18">
        <v>0.15</v>
      </c>
      <c r="K309" s="17">
        <v>119</v>
      </c>
      <c r="L309" s="17">
        <v>72</v>
      </c>
      <c r="M309" s="17">
        <v>47</v>
      </c>
      <c r="N309" s="18">
        <v>0.39500000000000002</v>
      </c>
    </row>
    <row r="310" spans="1:14" ht="14.5" x14ac:dyDescent="0.35">
      <c r="A310" s="9" t="s">
        <v>523</v>
      </c>
      <c r="B310" s="15">
        <v>45881</v>
      </c>
      <c r="C310" s="9" t="s">
        <v>42</v>
      </c>
      <c r="D310" s="9" t="s">
        <v>22</v>
      </c>
      <c r="E310" s="9" t="s">
        <v>23</v>
      </c>
      <c r="F310" s="9" t="s">
        <v>38</v>
      </c>
      <c r="G310" s="9" t="s">
        <v>49</v>
      </c>
      <c r="H310" s="16">
        <v>5</v>
      </c>
      <c r="I310" s="17">
        <v>65</v>
      </c>
      <c r="J310" s="18">
        <v>0.02</v>
      </c>
      <c r="K310" s="17">
        <v>318.5</v>
      </c>
      <c r="L310" s="17">
        <v>175</v>
      </c>
      <c r="M310" s="17">
        <v>143.5</v>
      </c>
      <c r="N310" s="18">
        <v>0.45050000000000001</v>
      </c>
    </row>
    <row r="311" spans="1:14" ht="14.5" x14ac:dyDescent="0.35">
      <c r="A311" s="9" t="s">
        <v>524</v>
      </c>
      <c r="B311" s="15">
        <v>45881</v>
      </c>
      <c r="C311" s="9" t="s">
        <v>357</v>
      </c>
      <c r="D311" s="9" t="s">
        <v>28</v>
      </c>
      <c r="E311" s="9" t="s">
        <v>29</v>
      </c>
      <c r="F311" s="9" t="s">
        <v>24</v>
      </c>
      <c r="G311" s="9" t="s">
        <v>35</v>
      </c>
      <c r="H311" s="16">
        <v>6</v>
      </c>
      <c r="I311" s="17">
        <v>850</v>
      </c>
      <c r="J311" s="18">
        <v>0.05</v>
      </c>
      <c r="K311" s="17">
        <v>4845</v>
      </c>
      <c r="L311" s="17">
        <v>3120</v>
      </c>
      <c r="M311" s="17">
        <v>1725</v>
      </c>
      <c r="N311" s="18">
        <v>0.35599999999999998</v>
      </c>
    </row>
    <row r="312" spans="1:14" ht="14.5" x14ac:dyDescent="0.35">
      <c r="A312" s="9" t="s">
        <v>525</v>
      </c>
      <c r="B312" s="15">
        <v>45883</v>
      </c>
      <c r="C312" s="9" t="s">
        <v>456</v>
      </c>
      <c r="D312" s="9" t="s">
        <v>43</v>
      </c>
      <c r="E312" s="9" t="s">
        <v>23</v>
      </c>
      <c r="F312" s="9" t="s">
        <v>30</v>
      </c>
      <c r="G312" s="9" t="s">
        <v>53</v>
      </c>
      <c r="H312" s="16">
        <v>8</v>
      </c>
      <c r="I312" s="17">
        <v>75</v>
      </c>
      <c r="J312" s="18">
        <v>0</v>
      </c>
      <c r="K312" s="17">
        <v>600</v>
      </c>
      <c r="L312" s="17">
        <v>320</v>
      </c>
      <c r="M312" s="17">
        <v>280</v>
      </c>
      <c r="N312" s="18">
        <v>0.4667</v>
      </c>
    </row>
    <row r="313" spans="1:14" ht="14.5" x14ac:dyDescent="0.35">
      <c r="A313" s="9" t="s">
        <v>526</v>
      </c>
      <c r="B313" s="15">
        <v>45884</v>
      </c>
      <c r="C313" s="9" t="s">
        <v>430</v>
      </c>
      <c r="D313" s="9" t="s">
        <v>142</v>
      </c>
      <c r="E313" s="9" t="s">
        <v>29</v>
      </c>
      <c r="F313" s="9" t="s">
        <v>18</v>
      </c>
      <c r="G313" s="9" t="s">
        <v>25</v>
      </c>
      <c r="H313" s="16">
        <v>9</v>
      </c>
      <c r="I313" s="17">
        <v>280</v>
      </c>
      <c r="J313" s="18">
        <v>0.05</v>
      </c>
      <c r="K313" s="17">
        <v>2394</v>
      </c>
      <c r="L313" s="17">
        <v>1530</v>
      </c>
      <c r="M313" s="17">
        <v>864</v>
      </c>
      <c r="N313" s="18">
        <v>0.3609</v>
      </c>
    </row>
    <row r="314" spans="1:14" ht="14.5" x14ac:dyDescent="0.35">
      <c r="A314" s="9" t="s">
        <v>527</v>
      </c>
      <c r="B314" s="15">
        <v>45884</v>
      </c>
      <c r="C314" s="9" t="s">
        <v>149</v>
      </c>
      <c r="D314" s="9" t="s">
        <v>142</v>
      </c>
      <c r="E314" s="9" t="s">
        <v>29</v>
      </c>
      <c r="F314" s="9" t="s">
        <v>24</v>
      </c>
      <c r="G314" s="9" t="s">
        <v>46</v>
      </c>
      <c r="H314" s="16">
        <v>10</v>
      </c>
      <c r="I314" s="17">
        <v>280</v>
      </c>
      <c r="J314" s="18">
        <v>0.02</v>
      </c>
      <c r="K314" s="17">
        <v>2744</v>
      </c>
      <c r="L314" s="17">
        <v>1700</v>
      </c>
      <c r="M314" s="17">
        <v>1044</v>
      </c>
      <c r="N314" s="18">
        <v>0.3805</v>
      </c>
    </row>
    <row r="315" spans="1:14" ht="14.5" x14ac:dyDescent="0.35">
      <c r="A315" s="9" t="s">
        <v>528</v>
      </c>
      <c r="B315" s="15">
        <v>45885</v>
      </c>
      <c r="C315" s="9" t="s">
        <v>351</v>
      </c>
      <c r="D315" s="9" t="s">
        <v>43</v>
      </c>
      <c r="E315" s="9" t="s">
        <v>23</v>
      </c>
      <c r="F315" s="9" t="s">
        <v>18</v>
      </c>
      <c r="G315" s="9" t="s">
        <v>19</v>
      </c>
      <c r="H315" s="16">
        <v>4</v>
      </c>
      <c r="I315" s="17">
        <v>75</v>
      </c>
      <c r="J315" s="18">
        <v>0.05</v>
      </c>
      <c r="K315" s="17">
        <v>285</v>
      </c>
      <c r="L315" s="17">
        <v>160</v>
      </c>
      <c r="M315" s="17">
        <v>125</v>
      </c>
      <c r="N315" s="18">
        <v>0.43859999999999999</v>
      </c>
    </row>
    <row r="316" spans="1:14" ht="14.5" x14ac:dyDescent="0.35">
      <c r="A316" s="9" t="s">
        <v>529</v>
      </c>
      <c r="B316" s="15">
        <v>45886</v>
      </c>
      <c r="C316" s="9" t="s">
        <v>131</v>
      </c>
      <c r="D316" s="9" t="s">
        <v>142</v>
      </c>
      <c r="E316" s="9" t="s">
        <v>29</v>
      </c>
      <c r="F316" s="9" t="s">
        <v>30</v>
      </c>
      <c r="G316" s="9" t="s">
        <v>49</v>
      </c>
      <c r="H316" s="16">
        <v>2</v>
      </c>
      <c r="I316" s="17">
        <v>280</v>
      </c>
      <c r="J316" s="18">
        <v>0</v>
      </c>
      <c r="K316" s="17">
        <v>560</v>
      </c>
      <c r="L316" s="17">
        <v>340</v>
      </c>
      <c r="M316" s="17">
        <v>220</v>
      </c>
      <c r="N316" s="18">
        <v>0.39290000000000003</v>
      </c>
    </row>
    <row r="317" spans="1:14" ht="14.5" x14ac:dyDescent="0.35">
      <c r="A317" s="9" t="s">
        <v>530</v>
      </c>
      <c r="B317" s="15">
        <v>45886</v>
      </c>
      <c r="C317" s="9" t="s">
        <v>531</v>
      </c>
      <c r="D317" s="9" t="s">
        <v>60</v>
      </c>
      <c r="E317" s="9" t="s">
        <v>34</v>
      </c>
      <c r="F317" s="9" t="s">
        <v>18</v>
      </c>
      <c r="G317" s="9" t="s">
        <v>25</v>
      </c>
      <c r="H317" s="16">
        <v>7</v>
      </c>
      <c r="I317" s="17">
        <v>240</v>
      </c>
      <c r="J317" s="18">
        <v>0.05</v>
      </c>
      <c r="K317" s="17">
        <v>1596</v>
      </c>
      <c r="L317" s="17">
        <v>1015</v>
      </c>
      <c r="M317" s="17">
        <v>581</v>
      </c>
      <c r="N317" s="18">
        <v>0.36399999999999999</v>
      </c>
    </row>
    <row r="318" spans="1:14" ht="14.5" x14ac:dyDescent="0.35">
      <c r="A318" s="9" t="s">
        <v>532</v>
      </c>
      <c r="B318" s="15">
        <v>45886</v>
      </c>
      <c r="C318" s="9" t="s">
        <v>328</v>
      </c>
      <c r="D318" s="9" t="s">
        <v>43</v>
      </c>
      <c r="E318" s="9" t="s">
        <v>23</v>
      </c>
      <c r="F318" s="9" t="s">
        <v>30</v>
      </c>
      <c r="G318" s="9" t="s">
        <v>19</v>
      </c>
      <c r="H318" s="16">
        <v>4</v>
      </c>
      <c r="I318" s="17">
        <v>75</v>
      </c>
      <c r="J318" s="18">
        <v>0.1</v>
      </c>
      <c r="K318" s="17">
        <v>270</v>
      </c>
      <c r="L318" s="17">
        <v>160</v>
      </c>
      <c r="M318" s="17">
        <v>110</v>
      </c>
      <c r="N318" s="18">
        <v>0.40739999999999998</v>
      </c>
    </row>
    <row r="319" spans="1:14" ht="14.5" x14ac:dyDescent="0.35">
      <c r="A319" s="9" t="s">
        <v>533</v>
      </c>
      <c r="B319" s="15">
        <v>45887</v>
      </c>
      <c r="C319" s="9" t="s">
        <v>299</v>
      </c>
      <c r="D319" s="9" t="s">
        <v>43</v>
      </c>
      <c r="E319" s="9" t="s">
        <v>23</v>
      </c>
      <c r="F319" s="9" t="s">
        <v>18</v>
      </c>
      <c r="G319" s="9" t="s">
        <v>35</v>
      </c>
      <c r="H319" s="16">
        <v>8</v>
      </c>
      <c r="I319" s="17">
        <v>75</v>
      </c>
      <c r="J319" s="18">
        <v>0.1</v>
      </c>
      <c r="K319" s="17">
        <v>540</v>
      </c>
      <c r="L319" s="17">
        <v>320</v>
      </c>
      <c r="M319" s="17">
        <v>220</v>
      </c>
      <c r="N319" s="18">
        <v>0.40739999999999998</v>
      </c>
    </row>
    <row r="320" spans="1:14" ht="14.5" x14ac:dyDescent="0.35">
      <c r="A320" s="9" t="s">
        <v>534</v>
      </c>
      <c r="B320" s="15">
        <v>45890</v>
      </c>
      <c r="C320" s="9" t="s">
        <v>310</v>
      </c>
      <c r="D320" s="9" t="s">
        <v>52</v>
      </c>
      <c r="E320" s="9" t="s">
        <v>23</v>
      </c>
      <c r="F320" s="9" t="s">
        <v>24</v>
      </c>
      <c r="G320" s="9" t="s">
        <v>25</v>
      </c>
      <c r="H320" s="16">
        <v>2</v>
      </c>
      <c r="I320" s="17">
        <v>35</v>
      </c>
      <c r="J320" s="18">
        <v>0.1</v>
      </c>
      <c r="K320" s="17">
        <v>63</v>
      </c>
      <c r="L320" s="17">
        <v>36</v>
      </c>
      <c r="M320" s="17">
        <v>27</v>
      </c>
      <c r="N320" s="18">
        <v>0.42859999999999998</v>
      </c>
    </row>
    <row r="321" spans="1:14" ht="14.5" x14ac:dyDescent="0.35">
      <c r="A321" s="9" t="s">
        <v>535</v>
      </c>
      <c r="B321" s="15">
        <v>45890</v>
      </c>
      <c r="C321" s="9" t="s">
        <v>398</v>
      </c>
      <c r="D321" s="9" t="s">
        <v>16</v>
      </c>
      <c r="E321" s="9" t="s">
        <v>17</v>
      </c>
      <c r="F321" s="9" t="s">
        <v>24</v>
      </c>
      <c r="G321" s="9" t="s">
        <v>46</v>
      </c>
      <c r="H321" s="16">
        <v>10</v>
      </c>
      <c r="I321" s="17">
        <v>210</v>
      </c>
      <c r="J321" s="18">
        <v>0.05</v>
      </c>
      <c r="K321" s="17">
        <v>1995</v>
      </c>
      <c r="L321" s="17">
        <v>1250</v>
      </c>
      <c r="M321" s="17">
        <v>745</v>
      </c>
      <c r="N321" s="18">
        <v>0.37340000000000001</v>
      </c>
    </row>
    <row r="322" spans="1:14" ht="14.5" x14ac:dyDescent="0.35">
      <c r="A322" s="9" t="s">
        <v>536</v>
      </c>
      <c r="B322" s="15">
        <v>45892</v>
      </c>
      <c r="C322" s="9" t="s">
        <v>537</v>
      </c>
      <c r="D322" s="9" t="s">
        <v>33</v>
      </c>
      <c r="E322" s="9" t="s">
        <v>34</v>
      </c>
      <c r="F322" s="9" t="s">
        <v>30</v>
      </c>
      <c r="G322" s="9" t="s">
        <v>35</v>
      </c>
      <c r="H322" s="16">
        <v>3</v>
      </c>
      <c r="I322" s="17">
        <v>320</v>
      </c>
      <c r="J322" s="18">
        <v>0</v>
      </c>
      <c r="K322" s="17">
        <v>960</v>
      </c>
      <c r="L322" s="17">
        <v>585</v>
      </c>
      <c r="M322" s="17">
        <v>375</v>
      </c>
      <c r="N322" s="18">
        <v>0.3906</v>
      </c>
    </row>
    <row r="323" spans="1:14" ht="14.5" x14ac:dyDescent="0.35">
      <c r="A323" s="9" t="s">
        <v>538</v>
      </c>
      <c r="B323" s="15">
        <v>45892</v>
      </c>
      <c r="C323" s="9" t="s">
        <v>64</v>
      </c>
      <c r="D323" s="9" t="s">
        <v>52</v>
      </c>
      <c r="E323" s="9" t="s">
        <v>23</v>
      </c>
      <c r="F323" s="9" t="s">
        <v>24</v>
      </c>
      <c r="G323" s="9" t="s">
        <v>49</v>
      </c>
      <c r="H323" s="16">
        <v>4</v>
      </c>
      <c r="I323" s="17">
        <v>35</v>
      </c>
      <c r="J323" s="18">
        <v>0.1</v>
      </c>
      <c r="K323" s="17">
        <v>126</v>
      </c>
      <c r="L323" s="17">
        <v>72</v>
      </c>
      <c r="M323" s="17">
        <v>54</v>
      </c>
      <c r="N323" s="18">
        <v>0.42859999999999998</v>
      </c>
    </row>
    <row r="324" spans="1:14" ht="14.5" x14ac:dyDescent="0.35">
      <c r="A324" s="9" t="s">
        <v>539</v>
      </c>
      <c r="B324" s="15">
        <v>45893</v>
      </c>
      <c r="C324" s="9" t="s">
        <v>297</v>
      </c>
      <c r="D324" s="9" t="s">
        <v>28</v>
      </c>
      <c r="E324" s="9" t="s">
        <v>29</v>
      </c>
      <c r="F324" s="9" t="s">
        <v>18</v>
      </c>
      <c r="G324" s="9" t="s">
        <v>49</v>
      </c>
      <c r="H324" s="16">
        <v>10</v>
      </c>
      <c r="I324" s="17">
        <v>850</v>
      </c>
      <c r="J324" s="18">
        <v>0.1</v>
      </c>
      <c r="K324" s="17">
        <v>7650</v>
      </c>
      <c r="L324" s="17">
        <v>5200</v>
      </c>
      <c r="M324" s="17">
        <v>2450</v>
      </c>
      <c r="N324" s="18">
        <v>0.32029999999999997</v>
      </c>
    </row>
    <row r="325" spans="1:14" ht="14.5" x14ac:dyDescent="0.35">
      <c r="A325" s="9" t="s">
        <v>540</v>
      </c>
      <c r="B325" s="15">
        <v>45894</v>
      </c>
      <c r="C325" s="9" t="s">
        <v>137</v>
      </c>
      <c r="D325" s="9" t="s">
        <v>33</v>
      </c>
      <c r="E325" s="9" t="s">
        <v>34</v>
      </c>
      <c r="F325" s="9" t="s">
        <v>30</v>
      </c>
      <c r="G325" s="9" t="s">
        <v>46</v>
      </c>
      <c r="H325" s="16">
        <v>1</v>
      </c>
      <c r="I325" s="17">
        <v>320</v>
      </c>
      <c r="J325" s="18">
        <v>0.02</v>
      </c>
      <c r="K325" s="17">
        <v>313.60000000000002</v>
      </c>
      <c r="L325" s="17">
        <v>195</v>
      </c>
      <c r="M325" s="17">
        <v>118.6</v>
      </c>
      <c r="N325" s="18">
        <v>0.37819999999999998</v>
      </c>
    </row>
    <row r="326" spans="1:14" ht="14.5" x14ac:dyDescent="0.35">
      <c r="A326" s="9" t="s">
        <v>541</v>
      </c>
      <c r="B326" s="15">
        <v>45895</v>
      </c>
      <c r="C326" s="9" t="s">
        <v>57</v>
      </c>
      <c r="D326" s="9" t="s">
        <v>142</v>
      </c>
      <c r="E326" s="9" t="s">
        <v>29</v>
      </c>
      <c r="F326" s="9" t="s">
        <v>24</v>
      </c>
      <c r="G326" s="9" t="s">
        <v>46</v>
      </c>
      <c r="H326" s="16">
        <v>10</v>
      </c>
      <c r="I326" s="17">
        <v>280</v>
      </c>
      <c r="J326" s="18">
        <v>0</v>
      </c>
      <c r="K326" s="17">
        <v>2800</v>
      </c>
      <c r="L326" s="17">
        <v>1700</v>
      </c>
      <c r="M326" s="17">
        <v>1100</v>
      </c>
      <c r="N326" s="18">
        <v>0.39290000000000003</v>
      </c>
    </row>
    <row r="327" spans="1:14" ht="14.5" x14ac:dyDescent="0.35">
      <c r="A327" s="9" t="s">
        <v>542</v>
      </c>
      <c r="B327" s="15">
        <v>45896</v>
      </c>
      <c r="C327" s="9" t="s">
        <v>402</v>
      </c>
      <c r="D327" s="9" t="s">
        <v>142</v>
      </c>
      <c r="E327" s="9" t="s">
        <v>29</v>
      </c>
      <c r="F327" s="9" t="s">
        <v>38</v>
      </c>
      <c r="G327" s="9" t="s">
        <v>53</v>
      </c>
      <c r="H327" s="16">
        <v>8</v>
      </c>
      <c r="I327" s="17">
        <v>280</v>
      </c>
      <c r="J327" s="18">
        <v>0.1</v>
      </c>
      <c r="K327" s="17">
        <v>2016</v>
      </c>
      <c r="L327" s="17">
        <v>1360</v>
      </c>
      <c r="M327" s="17">
        <v>656</v>
      </c>
      <c r="N327" s="18">
        <v>0.32540000000000002</v>
      </c>
    </row>
    <row r="328" spans="1:14" ht="14.5" x14ac:dyDescent="0.35">
      <c r="A328" s="9" t="s">
        <v>543</v>
      </c>
      <c r="B328" s="15">
        <v>45896</v>
      </c>
      <c r="C328" s="9" t="s">
        <v>544</v>
      </c>
      <c r="D328" s="9" t="s">
        <v>60</v>
      </c>
      <c r="E328" s="9" t="s">
        <v>34</v>
      </c>
      <c r="F328" s="9" t="s">
        <v>24</v>
      </c>
      <c r="G328" s="9" t="s">
        <v>53</v>
      </c>
      <c r="H328" s="16">
        <v>10</v>
      </c>
      <c r="I328" s="17">
        <v>240</v>
      </c>
      <c r="J328" s="18">
        <v>0.02</v>
      </c>
      <c r="K328" s="17">
        <v>2352</v>
      </c>
      <c r="L328" s="17">
        <v>1450</v>
      </c>
      <c r="M328" s="17">
        <v>902</v>
      </c>
      <c r="N328" s="18">
        <v>0.38350000000000001</v>
      </c>
    </row>
    <row r="329" spans="1:14" ht="14.5" x14ac:dyDescent="0.35">
      <c r="A329" s="9" t="s">
        <v>545</v>
      </c>
      <c r="B329" s="15">
        <v>45896</v>
      </c>
      <c r="C329" s="9" t="s">
        <v>224</v>
      </c>
      <c r="D329" s="9" t="s">
        <v>43</v>
      </c>
      <c r="E329" s="9" t="s">
        <v>23</v>
      </c>
      <c r="F329" s="9" t="s">
        <v>24</v>
      </c>
      <c r="G329" s="9" t="s">
        <v>53</v>
      </c>
      <c r="H329" s="16">
        <v>10</v>
      </c>
      <c r="I329" s="17">
        <v>75</v>
      </c>
      <c r="J329" s="18">
        <v>0.15</v>
      </c>
      <c r="K329" s="17">
        <v>637.5</v>
      </c>
      <c r="L329" s="17">
        <v>400</v>
      </c>
      <c r="M329" s="17">
        <v>237.5</v>
      </c>
      <c r="N329" s="18">
        <v>0.3725</v>
      </c>
    </row>
    <row r="330" spans="1:14" ht="14.5" x14ac:dyDescent="0.35">
      <c r="A330" s="9" t="s">
        <v>546</v>
      </c>
      <c r="B330" s="15">
        <v>45897</v>
      </c>
      <c r="C330" s="9" t="s">
        <v>471</v>
      </c>
      <c r="D330" s="9" t="s">
        <v>52</v>
      </c>
      <c r="E330" s="9" t="s">
        <v>23</v>
      </c>
      <c r="F330" s="9" t="s">
        <v>18</v>
      </c>
      <c r="G330" s="9" t="s">
        <v>25</v>
      </c>
      <c r="H330" s="16">
        <v>9</v>
      </c>
      <c r="I330" s="17">
        <v>35</v>
      </c>
      <c r="J330" s="18">
        <v>0</v>
      </c>
      <c r="K330" s="17">
        <v>315</v>
      </c>
      <c r="L330" s="17">
        <v>162</v>
      </c>
      <c r="M330" s="17">
        <v>153</v>
      </c>
      <c r="N330" s="18">
        <v>0.48570000000000002</v>
      </c>
    </row>
    <row r="331" spans="1:14" ht="14.5" x14ac:dyDescent="0.35">
      <c r="A331" s="9" t="s">
        <v>547</v>
      </c>
      <c r="B331" s="15">
        <v>45897</v>
      </c>
      <c r="C331" s="9" t="s">
        <v>548</v>
      </c>
      <c r="D331" s="9" t="s">
        <v>43</v>
      </c>
      <c r="E331" s="9" t="s">
        <v>23</v>
      </c>
      <c r="F331" s="9" t="s">
        <v>38</v>
      </c>
      <c r="G331" s="9" t="s">
        <v>46</v>
      </c>
      <c r="H331" s="16">
        <v>1</v>
      </c>
      <c r="I331" s="17">
        <v>75</v>
      </c>
      <c r="J331" s="18">
        <v>0.02</v>
      </c>
      <c r="K331" s="17">
        <v>73.5</v>
      </c>
      <c r="L331" s="17">
        <v>40</v>
      </c>
      <c r="M331" s="17">
        <v>33.5</v>
      </c>
      <c r="N331" s="18">
        <v>0.45579999999999998</v>
      </c>
    </row>
    <row r="332" spans="1:14" ht="14.5" x14ac:dyDescent="0.35">
      <c r="A332" s="9" t="s">
        <v>549</v>
      </c>
      <c r="B332" s="15">
        <v>45899</v>
      </c>
      <c r="C332" s="9" t="s">
        <v>290</v>
      </c>
      <c r="D332" s="9" t="s">
        <v>22</v>
      </c>
      <c r="E332" s="9" t="s">
        <v>23</v>
      </c>
      <c r="F332" s="9" t="s">
        <v>38</v>
      </c>
      <c r="G332" s="9" t="s">
        <v>46</v>
      </c>
      <c r="H332" s="16">
        <v>9</v>
      </c>
      <c r="I332" s="17">
        <v>65</v>
      </c>
      <c r="J332" s="18">
        <v>0</v>
      </c>
      <c r="K332" s="17">
        <v>585</v>
      </c>
      <c r="L332" s="17">
        <v>315</v>
      </c>
      <c r="M332" s="17">
        <v>270</v>
      </c>
      <c r="N332" s="18">
        <v>0.46150000000000002</v>
      </c>
    </row>
    <row r="333" spans="1:14" ht="14.5" x14ac:dyDescent="0.35">
      <c r="A333" s="9" t="s">
        <v>550</v>
      </c>
      <c r="B333" s="15">
        <v>45899</v>
      </c>
      <c r="C333" s="9" t="s">
        <v>200</v>
      </c>
      <c r="D333" s="9" t="s">
        <v>52</v>
      </c>
      <c r="E333" s="9" t="s">
        <v>23</v>
      </c>
      <c r="F333" s="9" t="s">
        <v>18</v>
      </c>
      <c r="G333" s="9" t="s">
        <v>25</v>
      </c>
      <c r="H333" s="16">
        <v>9</v>
      </c>
      <c r="I333" s="17">
        <v>35</v>
      </c>
      <c r="J333" s="18">
        <v>0.1</v>
      </c>
      <c r="K333" s="17">
        <v>283.5</v>
      </c>
      <c r="L333" s="17">
        <v>162</v>
      </c>
      <c r="M333" s="17">
        <v>121.5</v>
      </c>
      <c r="N333" s="18">
        <v>0.42859999999999998</v>
      </c>
    </row>
    <row r="334" spans="1:14" ht="14.5" x14ac:dyDescent="0.35">
      <c r="A334" s="9" t="s">
        <v>551</v>
      </c>
      <c r="B334" s="15">
        <v>45899</v>
      </c>
      <c r="C334" s="9" t="s">
        <v>229</v>
      </c>
      <c r="D334" s="9" t="s">
        <v>43</v>
      </c>
      <c r="E334" s="9" t="s">
        <v>23</v>
      </c>
      <c r="F334" s="9" t="s">
        <v>18</v>
      </c>
      <c r="G334" s="9" t="s">
        <v>46</v>
      </c>
      <c r="H334" s="16">
        <v>7</v>
      </c>
      <c r="I334" s="17">
        <v>75</v>
      </c>
      <c r="J334" s="18">
        <v>0.05</v>
      </c>
      <c r="K334" s="17">
        <v>498.75</v>
      </c>
      <c r="L334" s="17">
        <v>280</v>
      </c>
      <c r="M334" s="17">
        <v>218.75</v>
      </c>
      <c r="N334" s="18">
        <v>0.43859999999999999</v>
      </c>
    </row>
    <row r="335" spans="1:14" ht="14.5" x14ac:dyDescent="0.35">
      <c r="A335" s="9" t="s">
        <v>552</v>
      </c>
      <c r="B335" s="15">
        <v>45903</v>
      </c>
      <c r="C335" s="9" t="s">
        <v>200</v>
      </c>
      <c r="D335" s="9" t="s">
        <v>52</v>
      </c>
      <c r="E335" s="9" t="s">
        <v>23</v>
      </c>
      <c r="F335" s="9" t="s">
        <v>18</v>
      </c>
      <c r="G335" s="9" t="s">
        <v>25</v>
      </c>
      <c r="H335" s="16">
        <v>10</v>
      </c>
      <c r="I335" s="17">
        <v>35</v>
      </c>
      <c r="J335" s="18">
        <v>0.05</v>
      </c>
      <c r="K335" s="17">
        <v>332.5</v>
      </c>
      <c r="L335" s="17">
        <v>180</v>
      </c>
      <c r="M335" s="17">
        <v>152.5</v>
      </c>
      <c r="N335" s="18">
        <v>0.45860000000000001</v>
      </c>
    </row>
    <row r="336" spans="1:14" ht="14.5" x14ac:dyDescent="0.35">
      <c r="A336" s="9" t="s">
        <v>553</v>
      </c>
      <c r="B336" s="15">
        <v>45903</v>
      </c>
      <c r="C336" s="9" t="s">
        <v>380</v>
      </c>
      <c r="D336" s="9" t="s">
        <v>28</v>
      </c>
      <c r="E336" s="9" t="s">
        <v>29</v>
      </c>
      <c r="F336" s="9" t="s">
        <v>18</v>
      </c>
      <c r="G336" s="9" t="s">
        <v>53</v>
      </c>
      <c r="H336" s="16">
        <v>9</v>
      </c>
      <c r="I336" s="17">
        <v>850</v>
      </c>
      <c r="J336" s="18">
        <v>0.05</v>
      </c>
      <c r="K336" s="17">
        <v>7267.5</v>
      </c>
      <c r="L336" s="17">
        <v>4680</v>
      </c>
      <c r="M336" s="17">
        <v>2587.5</v>
      </c>
      <c r="N336" s="18">
        <v>0.35599999999999998</v>
      </c>
    </row>
    <row r="337" spans="1:14" ht="14.5" x14ac:dyDescent="0.35">
      <c r="A337" s="9" t="s">
        <v>554</v>
      </c>
      <c r="B337" s="15">
        <v>45904</v>
      </c>
      <c r="C337" s="9" t="s">
        <v>555</v>
      </c>
      <c r="D337" s="9" t="s">
        <v>43</v>
      </c>
      <c r="E337" s="9" t="s">
        <v>23</v>
      </c>
      <c r="F337" s="9" t="s">
        <v>30</v>
      </c>
      <c r="G337" s="9" t="s">
        <v>19</v>
      </c>
      <c r="H337" s="16">
        <v>2</v>
      </c>
      <c r="I337" s="17">
        <v>75</v>
      </c>
      <c r="J337" s="18">
        <v>0</v>
      </c>
      <c r="K337" s="17">
        <v>150</v>
      </c>
      <c r="L337" s="17">
        <v>80</v>
      </c>
      <c r="M337" s="17">
        <v>70</v>
      </c>
      <c r="N337" s="18">
        <v>0.4667</v>
      </c>
    </row>
    <row r="338" spans="1:14" ht="14.5" x14ac:dyDescent="0.35">
      <c r="A338" s="9" t="s">
        <v>556</v>
      </c>
      <c r="B338" s="15">
        <v>45904</v>
      </c>
      <c r="C338" s="9" t="s">
        <v>283</v>
      </c>
      <c r="D338" s="9" t="s">
        <v>52</v>
      </c>
      <c r="E338" s="9" t="s">
        <v>23</v>
      </c>
      <c r="F338" s="9" t="s">
        <v>38</v>
      </c>
      <c r="G338" s="9" t="s">
        <v>25</v>
      </c>
      <c r="H338" s="16">
        <v>1</v>
      </c>
      <c r="I338" s="17">
        <v>35</v>
      </c>
      <c r="J338" s="18">
        <v>0.1</v>
      </c>
      <c r="K338" s="17">
        <v>31.5</v>
      </c>
      <c r="L338" s="17">
        <v>18</v>
      </c>
      <c r="M338" s="17">
        <v>13.5</v>
      </c>
      <c r="N338" s="18">
        <v>0.42859999999999998</v>
      </c>
    </row>
    <row r="339" spans="1:14" ht="14.5" x14ac:dyDescent="0.35">
      <c r="A339" s="9" t="s">
        <v>557</v>
      </c>
      <c r="B339" s="15">
        <v>45904</v>
      </c>
      <c r="C339" s="9" t="s">
        <v>558</v>
      </c>
      <c r="D339" s="9" t="s">
        <v>60</v>
      </c>
      <c r="E339" s="9" t="s">
        <v>34</v>
      </c>
      <c r="F339" s="9" t="s">
        <v>18</v>
      </c>
      <c r="G339" s="9" t="s">
        <v>35</v>
      </c>
      <c r="H339" s="16">
        <v>10</v>
      </c>
      <c r="I339" s="17">
        <v>240</v>
      </c>
      <c r="J339" s="18">
        <v>0.02</v>
      </c>
      <c r="K339" s="17">
        <v>2352</v>
      </c>
      <c r="L339" s="17">
        <v>1450</v>
      </c>
      <c r="M339" s="17">
        <v>902</v>
      </c>
      <c r="N339" s="18">
        <v>0.38350000000000001</v>
      </c>
    </row>
    <row r="340" spans="1:14" ht="14.5" x14ac:dyDescent="0.35">
      <c r="A340" s="9" t="s">
        <v>559</v>
      </c>
      <c r="B340" s="15">
        <v>45904</v>
      </c>
      <c r="C340" s="9" t="s">
        <v>72</v>
      </c>
      <c r="D340" s="9" t="s">
        <v>33</v>
      </c>
      <c r="E340" s="9" t="s">
        <v>34</v>
      </c>
      <c r="F340" s="9" t="s">
        <v>18</v>
      </c>
      <c r="G340" s="9" t="s">
        <v>35</v>
      </c>
      <c r="H340" s="16">
        <v>9</v>
      </c>
      <c r="I340" s="17">
        <v>320</v>
      </c>
      <c r="J340" s="18">
        <v>0</v>
      </c>
      <c r="K340" s="17">
        <v>2880</v>
      </c>
      <c r="L340" s="17">
        <v>1755</v>
      </c>
      <c r="M340" s="17">
        <v>1125</v>
      </c>
      <c r="N340" s="18">
        <v>0.3906</v>
      </c>
    </row>
    <row r="341" spans="1:14" ht="14.5" x14ac:dyDescent="0.35">
      <c r="A341" s="9" t="s">
        <v>560</v>
      </c>
      <c r="B341" s="15">
        <v>45906</v>
      </c>
      <c r="C341" s="9" t="s">
        <v>217</v>
      </c>
      <c r="D341" s="9" t="s">
        <v>28</v>
      </c>
      <c r="E341" s="9" t="s">
        <v>29</v>
      </c>
      <c r="F341" s="9" t="s">
        <v>18</v>
      </c>
      <c r="G341" s="9" t="s">
        <v>35</v>
      </c>
      <c r="H341" s="16">
        <v>8</v>
      </c>
      <c r="I341" s="17">
        <v>850</v>
      </c>
      <c r="J341" s="18">
        <v>0.1</v>
      </c>
      <c r="K341" s="17">
        <v>6120</v>
      </c>
      <c r="L341" s="17">
        <v>4160</v>
      </c>
      <c r="M341" s="17">
        <v>1960</v>
      </c>
      <c r="N341" s="18">
        <v>0.32029999999999997</v>
      </c>
    </row>
    <row r="342" spans="1:14" ht="14.5" x14ac:dyDescent="0.35">
      <c r="A342" s="9" t="s">
        <v>561</v>
      </c>
      <c r="B342" s="15">
        <v>45906</v>
      </c>
      <c r="C342" s="9" t="s">
        <v>68</v>
      </c>
      <c r="D342" s="9" t="s">
        <v>33</v>
      </c>
      <c r="E342" s="9" t="s">
        <v>34</v>
      </c>
      <c r="F342" s="9" t="s">
        <v>18</v>
      </c>
      <c r="G342" s="9" t="s">
        <v>19</v>
      </c>
      <c r="H342" s="16">
        <v>9</v>
      </c>
      <c r="I342" s="17">
        <v>320</v>
      </c>
      <c r="J342" s="18">
        <v>0</v>
      </c>
      <c r="K342" s="17">
        <v>2880</v>
      </c>
      <c r="L342" s="17">
        <v>1755</v>
      </c>
      <c r="M342" s="17">
        <v>1125</v>
      </c>
      <c r="N342" s="18">
        <v>0.3906</v>
      </c>
    </row>
    <row r="343" spans="1:14" ht="14.5" x14ac:dyDescent="0.35">
      <c r="A343" s="9" t="s">
        <v>562</v>
      </c>
      <c r="B343" s="15">
        <v>45906</v>
      </c>
      <c r="C343" s="9" t="s">
        <v>51</v>
      </c>
      <c r="D343" s="9" t="s">
        <v>43</v>
      </c>
      <c r="E343" s="9" t="s">
        <v>23</v>
      </c>
      <c r="F343" s="9" t="s">
        <v>30</v>
      </c>
      <c r="G343" s="9" t="s">
        <v>25</v>
      </c>
      <c r="H343" s="16">
        <v>2</v>
      </c>
      <c r="I343" s="17">
        <v>75</v>
      </c>
      <c r="J343" s="18">
        <v>0.1</v>
      </c>
      <c r="K343" s="17">
        <v>135</v>
      </c>
      <c r="L343" s="17">
        <v>80</v>
      </c>
      <c r="M343" s="17">
        <v>55</v>
      </c>
      <c r="N343" s="18">
        <v>0.40739999999999998</v>
      </c>
    </row>
    <row r="344" spans="1:14" ht="14.5" x14ac:dyDescent="0.35">
      <c r="A344" s="9" t="s">
        <v>563</v>
      </c>
      <c r="B344" s="15">
        <v>45907</v>
      </c>
      <c r="C344" s="9" t="s">
        <v>308</v>
      </c>
      <c r="D344" s="9" t="s">
        <v>28</v>
      </c>
      <c r="E344" s="9" t="s">
        <v>29</v>
      </c>
      <c r="F344" s="9" t="s">
        <v>18</v>
      </c>
      <c r="G344" s="9" t="s">
        <v>25</v>
      </c>
      <c r="H344" s="16">
        <v>9</v>
      </c>
      <c r="I344" s="17">
        <v>850</v>
      </c>
      <c r="J344" s="18">
        <v>0.05</v>
      </c>
      <c r="K344" s="17">
        <v>7267.5</v>
      </c>
      <c r="L344" s="17">
        <v>4680</v>
      </c>
      <c r="M344" s="17">
        <v>2587.5</v>
      </c>
      <c r="N344" s="18">
        <v>0.35599999999999998</v>
      </c>
    </row>
    <row r="345" spans="1:14" ht="14.5" x14ac:dyDescent="0.35">
      <c r="A345" s="9" t="s">
        <v>564</v>
      </c>
      <c r="B345" s="15">
        <v>45907</v>
      </c>
      <c r="C345" s="9" t="s">
        <v>367</v>
      </c>
      <c r="D345" s="9" t="s">
        <v>16</v>
      </c>
      <c r="E345" s="9" t="s">
        <v>17</v>
      </c>
      <c r="F345" s="9" t="s">
        <v>38</v>
      </c>
      <c r="G345" s="9" t="s">
        <v>53</v>
      </c>
      <c r="H345" s="16">
        <v>7</v>
      </c>
      <c r="I345" s="17">
        <v>210</v>
      </c>
      <c r="J345" s="18">
        <v>0.1</v>
      </c>
      <c r="K345" s="17">
        <v>1323</v>
      </c>
      <c r="L345" s="17">
        <v>875</v>
      </c>
      <c r="M345" s="17">
        <v>448</v>
      </c>
      <c r="N345" s="18">
        <v>0.33860000000000001</v>
      </c>
    </row>
    <row r="346" spans="1:14" ht="14.5" x14ac:dyDescent="0.35">
      <c r="A346" s="9" t="s">
        <v>565</v>
      </c>
      <c r="B346" s="15">
        <v>45907</v>
      </c>
      <c r="C346" s="9" t="s">
        <v>566</v>
      </c>
      <c r="D346" s="9" t="s">
        <v>142</v>
      </c>
      <c r="E346" s="9" t="s">
        <v>29</v>
      </c>
      <c r="F346" s="9" t="s">
        <v>30</v>
      </c>
      <c r="G346" s="9" t="s">
        <v>25</v>
      </c>
      <c r="H346" s="16">
        <v>2</v>
      </c>
      <c r="I346" s="17">
        <v>280</v>
      </c>
      <c r="J346" s="18">
        <v>0</v>
      </c>
      <c r="K346" s="17">
        <v>560</v>
      </c>
      <c r="L346" s="17">
        <v>340</v>
      </c>
      <c r="M346" s="17">
        <v>220</v>
      </c>
      <c r="N346" s="18">
        <v>0.39290000000000003</v>
      </c>
    </row>
    <row r="347" spans="1:14" ht="14.5" x14ac:dyDescent="0.35">
      <c r="A347" s="9" t="s">
        <v>567</v>
      </c>
      <c r="B347" s="15">
        <v>45908</v>
      </c>
      <c r="C347" s="9" t="s">
        <v>202</v>
      </c>
      <c r="D347" s="9" t="s">
        <v>142</v>
      </c>
      <c r="E347" s="9" t="s">
        <v>29</v>
      </c>
      <c r="F347" s="9" t="s">
        <v>24</v>
      </c>
      <c r="G347" s="9" t="s">
        <v>25</v>
      </c>
      <c r="H347" s="16">
        <v>5</v>
      </c>
      <c r="I347" s="17">
        <v>280</v>
      </c>
      <c r="J347" s="18">
        <v>0</v>
      </c>
      <c r="K347" s="17">
        <v>1400</v>
      </c>
      <c r="L347" s="17">
        <v>850</v>
      </c>
      <c r="M347" s="17">
        <v>550</v>
      </c>
      <c r="N347" s="18">
        <v>0.39290000000000003</v>
      </c>
    </row>
    <row r="348" spans="1:14" ht="14.5" x14ac:dyDescent="0.35">
      <c r="A348" s="9" t="s">
        <v>568</v>
      </c>
      <c r="B348" s="15">
        <v>45908</v>
      </c>
      <c r="C348" s="9" t="s">
        <v>308</v>
      </c>
      <c r="D348" s="9" t="s">
        <v>28</v>
      </c>
      <c r="E348" s="9" t="s">
        <v>29</v>
      </c>
      <c r="F348" s="9" t="s">
        <v>18</v>
      </c>
      <c r="G348" s="9" t="s">
        <v>25</v>
      </c>
      <c r="H348" s="16">
        <v>7</v>
      </c>
      <c r="I348" s="17">
        <v>850</v>
      </c>
      <c r="J348" s="18">
        <v>0</v>
      </c>
      <c r="K348" s="17">
        <v>5950</v>
      </c>
      <c r="L348" s="17">
        <v>3640</v>
      </c>
      <c r="M348" s="17">
        <v>2310</v>
      </c>
      <c r="N348" s="18">
        <v>0.38819999999999999</v>
      </c>
    </row>
    <row r="349" spans="1:14" ht="14.5" x14ac:dyDescent="0.35">
      <c r="A349" s="9" t="s">
        <v>569</v>
      </c>
      <c r="B349" s="15">
        <v>45909</v>
      </c>
      <c r="C349" s="9" t="s">
        <v>570</v>
      </c>
      <c r="D349" s="9" t="s">
        <v>33</v>
      </c>
      <c r="E349" s="9" t="s">
        <v>34</v>
      </c>
      <c r="F349" s="9" t="s">
        <v>30</v>
      </c>
      <c r="G349" s="9" t="s">
        <v>25</v>
      </c>
      <c r="H349" s="16">
        <v>6</v>
      </c>
      <c r="I349" s="17">
        <v>320</v>
      </c>
      <c r="J349" s="18">
        <v>0</v>
      </c>
      <c r="K349" s="17">
        <v>1920</v>
      </c>
      <c r="L349" s="17">
        <v>1170</v>
      </c>
      <c r="M349" s="17">
        <v>750</v>
      </c>
      <c r="N349" s="18">
        <v>0.3906</v>
      </c>
    </row>
    <row r="350" spans="1:14" ht="14.5" x14ac:dyDescent="0.35">
      <c r="A350" s="9" t="s">
        <v>571</v>
      </c>
      <c r="B350" s="15">
        <v>45909</v>
      </c>
      <c r="C350" s="9" t="s">
        <v>139</v>
      </c>
      <c r="D350" s="9" t="s">
        <v>43</v>
      </c>
      <c r="E350" s="9" t="s">
        <v>23</v>
      </c>
      <c r="F350" s="9" t="s">
        <v>18</v>
      </c>
      <c r="G350" s="9" t="s">
        <v>19</v>
      </c>
      <c r="H350" s="16">
        <v>7</v>
      </c>
      <c r="I350" s="17">
        <v>75</v>
      </c>
      <c r="J350" s="18">
        <v>0.05</v>
      </c>
      <c r="K350" s="17">
        <v>498.75</v>
      </c>
      <c r="L350" s="17">
        <v>280</v>
      </c>
      <c r="M350" s="17">
        <v>218.75</v>
      </c>
      <c r="N350" s="18">
        <v>0.43859999999999999</v>
      </c>
    </row>
    <row r="351" spans="1:14" ht="14.5" x14ac:dyDescent="0.35">
      <c r="A351" s="9" t="s">
        <v>572</v>
      </c>
      <c r="B351" s="15">
        <v>45909</v>
      </c>
      <c r="C351" s="9" t="s">
        <v>113</v>
      </c>
      <c r="D351" s="9" t="s">
        <v>28</v>
      </c>
      <c r="E351" s="9" t="s">
        <v>29</v>
      </c>
      <c r="F351" s="9" t="s">
        <v>38</v>
      </c>
      <c r="G351" s="9" t="s">
        <v>25</v>
      </c>
      <c r="H351" s="16">
        <v>1</v>
      </c>
      <c r="I351" s="17">
        <v>850</v>
      </c>
      <c r="J351" s="18">
        <v>0.05</v>
      </c>
      <c r="K351" s="17">
        <v>807.5</v>
      </c>
      <c r="L351" s="17">
        <v>520</v>
      </c>
      <c r="M351" s="17">
        <v>287.5</v>
      </c>
      <c r="N351" s="18">
        <v>0.35599999999999998</v>
      </c>
    </row>
    <row r="352" spans="1:14" ht="14.5" x14ac:dyDescent="0.35">
      <c r="A352" s="9" t="s">
        <v>573</v>
      </c>
      <c r="B352" s="15">
        <v>45910</v>
      </c>
      <c r="C352" s="9" t="s">
        <v>99</v>
      </c>
      <c r="D352" s="9" t="s">
        <v>52</v>
      </c>
      <c r="E352" s="9" t="s">
        <v>23</v>
      </c>
      <c r="F352" s="9" t="s">
        <v>30</v>
      </c>
      <c r="G352" s="9" t="s">
        <v>46</v>
      </c>
      <c r="H352" s="16">
        <v>4</v>
      </c>
      <c r="I352" s="17">
        <v>35</v>
      </c>
      <c r="J352" s="18">
        <v>0.02</v>
      </c>
      <c r="K352" s="17">
        <v>137.19999999999999</v>
      </c>
      <c r="L352" s="17">
        <v>72</v>
      </c>
      <c r="M352" s="17">
        <v>65.2</v>
      </c>
      <c r="N352" s="18">
        <v>0.47520000000000001</v>
      </c>
    </row>
    <row r="353" spans="1:14" ht="14.5" x14ac:dyDescent="0.35">
      <c r="A353" s="9" t="s">
        <v>574</v>
      </c>
      <c r="B353" s="15">
        <v>45910</v>
      </c>
      <c r="C353" s="9" t="s">
        <v>367</v>
      </c>
      <c r="D353" s="9" t="s">
        <v>33</v>
      </c>
      <c r="E353" s="9" t="s">
        <v>34</v>
      </c>
      <c r="F353" s="9" t="s">
        <v>24</v>
      </c>
      <c r="G353" s="9" t="s">
        <v>35</v>
      </c>
      <c r="H353" s="16">
        <v>8</v>
      </c>
      <c r="I353" s="17">
        <v>320</v>
      </c>
      <c r="J353" s="18">
        <v>0</v>
      </c>
      <c r="K353" s="17">
        <v>2560</v>
      </c>
      <c r="L353" s="17">
        <v>1560</v>
      </c>
      <c r="M353" s="17">
        <v>1000</v>
      </c>
      <c r="N353" s="18">
        <v>0.3906</v>
      </c>
    </row>
    <row r="354" spans="1:14" ht="14.5" x14ac:dyDescent="0.35">
      <c r="A354" s="9" t="s">
        <v>575</v>
      </c>
      <c r="B354" s="15">
        <v>45910</v>
      </c>
      <c r="C354" s="9" t="s">
        <v>209</v>
      </c>
      <c r="D354" s="9" t="s">
        <v>33</v>
      </c>
      <c r="E354" s="9" t="s">
        <v>34</v>
      </c>
      <c r="F354" s="9" t="s">
        <v>30</v>
      </c>
      <c r="G354" s="9" t="s">
        <v>25</v>
      </c>
      <c r="H354" s="16">
        <v>4</v>
      </c>
      <c r="I354" s="17">
        <v>320</v>
      </c>
      <c r="J354" s="18">
        <v>0</v>
      </c>
      <c r="K354" s="17">
        <v>1280</v>
      </c>
      <c r="L354" s="17">
        <v>780</v>
      </c>
      <c r="M354" s="17">
        <v>500</v>
      </c>
      <c r="N354" s="18">
        <v>0.3906</v>
      </c>
    </row>
    <row r="355" spans="1:14" ht="14.5" x14ac:dyDescent="0.35">
      <c r="A355" s="9" t="s">
        <v>576</v>
      </c>
      <c r="B355" s="15">
        <v>45910</v>
      </c>
      <c r="C355" s="9" t="s">
        <v>74</v>
      </c>
      <c r="D355" s="9" t="s">
        <v>142</v>
      </c>
      <c r="E355" s="9" t="s">
        <v>29</v>
      </c>
      <c r="F355" s="9" t="s">
        <v>18</v>
      </c>
      <c r="G355" s="9" t="s">
        <v>19</v>
      </c>
      <c r="H355" s="16">
        <v>1</v>
      </c>
      <c r="I355" s="17">
        <v>280</v>
      </c>
      <c r="J355" s="18">
        <v>0.02</v>
      </c>
      <c r="K355" s="17">
        <v>274.39999999999998</v>
      </c>
      <c r="L355" s="17">
        <v>170</v>
      </c>
      <c r="M355" s="17">
        <v>104.4</v>
      </c>
      <c r="N355" s="18">
        <v>0.3805</v>
      </c>
    </row>
    <row r="356" spans="1:14" ht="14.5" x14ac:dyDescent="0.35">
      <c r="A356" s="9" t="s">
        <v>577</v>
      </c>
      <c r="B356" s="15">
        <v>45911</v>
      </c>
      <c r="C356" s="9" t="s">
        <v>558</v>
      </c>
      <c r="D356" s="9" t="s">
        <v>60</v>
      </c>
      <c r="E356" s="9" t="s">
        <v>34</v>
      </c>
      <c r="F356" s="9" t="s">
        <v>24</v>
      </c>
      <c r="G356" s="9" t="s">
        <v>49</v>
      </c>
      <c r="H356" s="16">
        <v>3</v>
      </c>
      <c r="I356" s="17">
        <v>240</v>
      </c>
      <c r="J356" s="18">
        <v>0</v>
      </c>
      <c r="K356" s="17">
        <v>720</v>
      </c>
      <c r="L356" s="17">
        <v>435</v>
      </c>
      <c r="M356" s="17">
        <v>285</v>
      </c>
      <c r="N356" s="18">
        <v>0.39579999999999999</v>
      </c>
    </row>
    <row r="357" spans="1:14" ht="14.5" x14ac:dyDescent="0.35">
      <c r="A357" s="9" t="s">
        <v>578</v>
      </c>
      <c r="B357" s="15">
        <v>45912</v>
      </c>
      <c r="C357" s="9" t="s">
        <v>84</v>
      </c>
      <c r="D357" s="9" t="s">
        <v>43</v>
      </c>
      <c r="E357" s="9" t="s">
        <v>23</v>
      </c>
      <c r="F357" s="9" t="s">
        <v>30</v>
      </c>
      <c r="G357" s="9" t="s">
        <v>25</v>
      </c>
      <c r="H357" s="16">
        <v>10</v>
      </c>
      <c r="I357" s="17">
        <v>75</v>
      </c>
      <c r="J357" s="18">
        <v>0</v>
      </c>
      <c r="K357" s="17">
        <v>750</v>
      </c>
      <c r="L357" s="17">
        <v>400</v>
      </c>
      <c r="M357" s="17">
        <v>350</v>
      </c>
      <c r="N357" s="18">
        <v>0.4667</v>
      </c>
    </row>
    <row r="358" spans="1:14" ht="14.5" x14ac:dyDescent="0.35">
      <c r="A358" s="9" t="s">
        <v>579</v>
      </c>
      <c r="B358" s="15">
        <v>45913</v>
      </c>
      <c r="C358" s="9" t="s">
        <v>315</v>
      </c>
      <c r="D358" s="9" t="s">
        <v>16</v>
      </c>
      <c r="E358" s="9" t="s">
        <v>17</v>
      </c>
      <c r="F358" s="9" t="s">
        <v>30</v>
      </c>
      <c r="G358" s="9" t="s">
        <v>25</v>
      </c>
      <c r="H358" s="16">
        <v>4</v>
      </c>
      <c r="I358" s="17">
        <v>210</v>
      </c>
      <c r="J358" s="18">
        <v>0</v>
      </c>
      <c r="K358" s="17">
        <v>840</v>
      </c>
      <c r="L358" s="17">
        <v>500</v>
      </c>
      <c r="M358" s="17">
        <v>340</v>
      </c>
      <c r="N358" s="18">
        <v>0.40479999999999999</v>
      </c>
    </row>
    <row r="359" spans="1:14" ht="14.5" x14ac:dyDescent="0.35">
      <c r="A359" s="9" t="s">
        <v>580</v>
      </c>
      <c r="B359" s="15">
        <v>45913</v>
      </c>
      <c r="C359" s="9" t="s">
        <v>355</v>
      </c>
      <c r="D359" s="9" t="s">
        <v>16</v>
      </c>
      <c r="E359" s="9" t="s">
        <v>17</v>
      </c>
      <c r="F359" s="9" t="s">
        <v>24</v>
      </c>
      <c r="G359" s="9" t="s">
        <v>53</v>
      </c>
      <c r="H359" s="16">
        <v>6</v>
      </c>
      <c r="I359" s="17">
        <v>210</v>
      </c>
      <c r="J359" s="18">
        <v>0.1</v>
      </c>
      <c r="K359" s="17">
        <v>1134</v>
      </c>
      <c r="L359" s="17">
        <v>750</v>
      </c>
      <c r="M359" s="17">
        <v>384</v>
      </c>
      <c r="N359" s="18">
        <v>0.33860000000000001</v>
      </c>
    </row>
    <row r="360" spans="1:14" ht="14.5" x14ac:dyDescent="0.35">
      <c r="A360" s="9" t="s">
        <v>581</v>
      </c>
      <c r="B360" s="15">
        <v>45914</v>
      </c>
      <c r="C360" s="9" t="s">
        <v>301</v>
      </c>
      <c r="D360" s="9" t="s">
        <v>28</v>
      </c>
      <c r="E360" s="9" t="s">
        <v>29</v>
      </c>
      <c r="F360" s="9" t="s">
        <v>24</v>
      </c>
      <c r="G360" s="9" t="s">
        <v>25</v>
      </c>
      <c r="H360" s="16">
        <v>6</v>
      </c>
      <c r="I360" s="17">
        <v>850</v>
      </c>
      <c r="J360" s="18">
        <v>0.02</v>
      </c>
      <c r="K360" s="17">
        <v>4998</v>
      </c>
      <c r="L360" s="17">
        <v>3120</v>
      </c>
      <c r="M360" s="17">
        <v>1878</v>
      </c>
      <c r="N360" s="18">
        <v>0.37580000000000002</v>
      </c>
    </row>
    <row r="361" spans="1:14" ht="14.5" x14ac:dyDescent="0.35">
      <c r="A361" s="9" t="s">
        <v>582</v>
      </c>
      <c r="B361" s="15">
        <v>45915</v>
      </c>
      <c r="C361" s="9" t="s">
        <v>583</v>
      </c>
      <c r="D361" s="9" t="s">
        <v>142</v>
      </c>
      <c r="E361" s="9" t="s">
        <v>29</v>
      </c>
      <c r="F361" s="9" t="s">
        <v>24</v>
      </c>
      <c r="G361" s="9" t="s">
        <v>46</v>
      </c>
      <c r="H361" s="16">
        <v>2</v>
      </c>
      <c r="I361" s="17">
        <v>280</v>
      </c>
      <c r="J361" s="18">
        <v>0.15</v>
      </c>
      <c r="K361" s="17">
        <v>476</v>
      </c>
      <c r="L361" s="17">
        <v>340</v>
      </c>
      <c r="M361" s="17">
        <v>136</v>
      </c>
      <c r="N361" s="18">
        <v>0.28570000000000001</v>
      </c>
    </row>
    <row r="362" spans="1:14" ht="14.5" x14ac:dyDescent="0.35">
      <c r="A362" s="9" t="s">
        <v>584</v>
      </c>
      <c r="B362" s="15">
        <v>45916</v>
      </c>
      <c r="C362" s="9" t="s">
        <v>585</v>
      </c>
      <c r="D362" s="9" t="s">
        <v>22</v>
      </c>
      <c r="E362" s="9" t="s">
        <v>23</v>
      </c>
      <c r="F362" s="9" t="s">
        <v>24</v>
      </c>
      <c r="G362" s="9" t="s">
        <v>53</v>
      </c>
      <c r="H362" s="16">
        <v>4</v>
      </c>
      <c r="I362" s="17">
        <v>65</v>
      </c>
      <c r="J362" s="18">
        <v>0</v>
      </c>
      <c r="K362" s="17">
        <v>260</v>
      </c>
      <c r="L362" s="17">
        <v>140</v>
      </c>
      <c r="M362" s="17">
        <v>120</v>
      </c>
      <c r="N362" s="18">
        <v>0.46150000000000002</v>
      </c>
    </row>
    <row r="363" spans="1:14" ht="14.5" x14ac:dyDescent="0.35">
      <c r="A363" s="9" t="s">
        <v>586</v>
      </c>
      <c r="B363" s="15">
        <v>45916</v>
      </c>
      <c r="C363" s="9" t="s">
        <v>255</v>
      </c>
      <c r="D363" s="9" t="s">
        <v>43</v>
      </c>
      <c r="E363" s="9" t="s">
        <v>23</v>
      </c>
      <c r="F363" s="9" t="s">
        <v>18</v>
      </c>
      <c r="G363" s="9" t="s">
        <v>19</v>
      </c>
      <c r="H363" s="16">
        <v>6</v>
      </c>
      <c r="I363" s="17">
        <v>75</v>
      </c>
      <c r="J363" s="18">
        <v>0.1</v>
      </c>
      <c r="K363" s="17">
        <v>405</v>
      </c>
      <c r="L363" s="17">
        <v>240</v>
      </c>
      <c r="M363" s="17">
        <v>165</v>
      </c>
      <c r="N363" s="18">
        <v>0.40739999999999998</v>
      </c>
    </row>
    <row r="364" spans="1:14" ht="14.5" x14ac:dyDescent="0.35">
      <c r="A364" s="9" t="s">
        <v>587</v>
      </c>
      <c r="B364" s="15">
        <v>45916</v>
      </c>
      <c r="C364" s="9" t="s">
        <v>588</v>
      </c>
      <c r="D364" s="9" t="s">
        <v>43</v>
      </c>
      <c r="E364" s="9" t="s">
        <v>23</v>
      </c>
      <c r="F364" s="9" t="s">
        <v>24</v>
      </c>
      <c r="G364" s="9" t="s">
        <v>46</v>
      </c>
      <c r="H364" s="16">
        <v>4</v>
      </c>
      <c r="I364" s="17">
        <v>75</v>
      </c>
      <c r="J364" s="18">
        <v>0.05</v>
      </c>
      <c r="K364" s="17">
        <v>285</v>
      </c>
      <c r="L364" s="17">
        <v>160</v>
      </c>
      <c r="M364" s="17">
        <v>125</v>
      </c>
      <c r="N364" s="18">
        <v>0.43859999999999999</v>
      </c>
    </row>
    <row r="365" spans="1:14" ht="14.5" x14ac:dyDescent="0.35">
      <c r="A365" s="9" t="s">
        <v>589</v>
      </c>
      <c r="B365" s="15">
        <v>45917</v>
      </c>
      <c r="C365" s="9" t="s">
        <v>187</v>
      </c>
      <c r="D365" s="9" t="s">
        <v>28</v>
      </c>
      <c r="E365" s="9" t="s">
        <v>29</v>
      </c>
      <c r="F365" s="9" t="s">
        <v>24</v>
      </c>
      <c r="G365" s="9" t="s">
        <v>53</v>
      </c>
      <c r="H365" s="16">
        <v>2</v>
      </c>
      <c r="I365" s="17">
        <v>850</v>
      </c>
      <c r="J365" s="18">
        <v>0</v>
      </c>
      <c r="K365" s="17">
        <v>1700</v>
      </c>
      <c r="L365" s="17">
        <v>1040</v>
      </c>
      <c r="M365" s="17">
        <v>660</v>
      </c>
      <c r="N365" s="18">
        <v>0.38819999999999999</v>
      </c>
    </row>
    <row r="366" spans="1:14" ht="14.5" x14ac:dyDescent="0.35">
      <c r="A366" s="9" t="s">
        <v>590</v>
      </c>
      <c r="B366" s="15">
        <v>45919</v>
      </c>
      <c r="C366" s="9" t="s">
        <v>187</v>
      </c>
      <c r="D366" s="9" t="s">
        <v>28</v>
      </c>
      <c r="E366" s="9" t="s">
        <v>29</v>
      </c>
      <c r="F366" s="9" t="s">
        <v>18</v>
      </c>
      <c r="G366" s="9" t="s">
        <v>25</v>
      </c>
      <c r="H366" s="16">
        <v>4</v>
      </c>
      <c r="I366" s="17">
        <v>850</v>
      </c>
      <c r="J366" s="18">
        <v>0.15</v>
      </c>
      <c r="K366" s="17">
        <v>2890</v>
      </c>
      <c r="L366" s="17">
        <v>2080</v>
      </c>
      <c r="M366" s="17">
        <v>810</v>
      </c>
      <c r="N366" s="18">
        <v>0.28029999999999999</v>
      </c>
    </row>
    <row r="367" spans="1:14" ht="14.5" x14ac:dyDescent="0.35">
      <c r="A367" s="9" t="s">
        <v>591</v>
      </c>
      <c r="B367" s="15">
        <v>45919</v>
      </c>
      <c r="C367" s="9" t="s">
        <v>27</v>
      </c>
      <c r="D367" s="9" t="s">
        <v>52</v>
      </c>
      <c r="E367" s="9" t="s">
        <v>23</v>
      </c>
      <c r="F367" s="9" t="s">
        <v>30</v>
      </c>
      <c r="G367" s="9" t="s">
        <v>19</v>
      </c>
      <c r="H367" s="16">
        <v>10</v>
      </c>
      <c r="I367" s="17">
        <v>35</v>
      </c>
      <c r="J367" s="18">
        <v>0.1</v>
      </c>
      <c r="K367" s="17">
        <v>315</v>
      </c>
      <c r="L367" s="17">
        <v>180</v>
      </c>
      <c r="M367" s="17">
        <v>135</v>
      </c>
      <c r="N367" s="18">
        <v>0.42859999999999998</v>
      </c>
    </row>
    <row r="368" spans="1:14" ht="14.5" x14ac:dyDescent="0.35">
      <c r="A368" s="9" t="s">
        <v>592</v>
      </c>
      <c r="B368" s="15">
        <v>45921</v>
      </c>
      <c r="C368" s="9" t="s">
        <v>357</v>
      </c>
      <c r="D368" s="9" t="s">
        <v>22</v>
      </c>
      <c r="E368" s="9" t="s">
        <v>23</v>
      </c>
      <c r="F368" s="9" t="s">
        <v>18</v>
      </c>
      <c r="G368" s="9" t="s">
        <v>19</v>
      </c>
      <c r="H368" s="16">
        <v>3</v>
      </c>
      <c r="I368" s="17">
        <v>65</v>
      </c>
      <c r="J368" s="18">
        <v>0</v>
      </c>
      <c r="K368" s="17">
        <v>195</v>
      </c>
      <c r="L368" s="17">
        <v>105</v>
      </c>
      <c r="M368" s="17">
        <v>90</v>
      </c>
      <c r="N368" s="18">
        <v>0.46150000000000002</v>
      </c>
    </row>
    <row r="369" spans="1:14" ht="14.5" x14ac:dyDescent="0.35">
      <c r="A369" s="9" t="s">
        <v>593</v>
      </c>
      <c r="B369" s="15">
        <v>45921</v>
      </c>
      <c r="C369" s="9" t="s">
        <v>163</v>
      </c>
      <c r="D369" s="9" t="s">
        <v>142</v>
      </c>
      <c r="E369" s="9" t="s">
        <v>29</v>
      </c>
      <c r="F369" s="9" t="s">
        <v>24</v>
      </c>
      <c r="G369" s="9" t="s">
        <v>19</v>
      </c>
      <c r="H369" s="16">
        <v>4</v>
      </c>
      <c r="I369" s="17">
        <v>280</v>
      </c>
      <c r="J369" s="18">
        <v>0.02</v>
      </c>
      <c r="K369" s="17">
        <v>1097.5999999999999</v>
      </c>
      <c r="L369" s="17">
        <v>680</v>
      </c>
      <c r="M369" s="17">
        <v>417.6</v>
      </c>
      <c r="N369" s="18">
        <v>0.3805</v>
      </c>
    </row>
    <row r="370" spans="1:14" ht="14.5" x14ac:dyDescent="0.35">
      <c r="A370" s="9" t="s">
        <v>594</v>
      </c>
      <c r="B370" s="15">
        <v>45921</v>
      </c>
      <c r="C370" s="9" t="s">
        <v>169</v>
      </c>
      <c r="D370" s="9" t="s">
        <v>16</v>
      </c>
      <c r="E370" s="9" t="s">
        <v>17</v>
      </c>
      <c r="F370" s="9" t="s">
        <v>30</v>
      </c>
      <c r="G370" s="9" t="s">
        <v>49</v>
      </c>
      <c r="H370" s="16">
        <v>6</v>
      </c>
      <c r="I370" s="17">
        <v>210</v>
      </c>
      <c r="J370" s="18">
        <v>0.05</v>
      </c>
      <c r="K370" s="17">
        <v>1197</v>
      </c>
      <c r="L370" s="17">
        <v>750</v>
      </c>
      <c r="M370" s="17">
        <v>447</v>
      </c>
      <c r="N370" s="18">
        <v>0.37340000000000001</v>
      </c>
    </row>
    <row r="371" spans="1:14" ht="14.5" x14ac:dyDescent="0.35">
      <c r="A371" s="9" t="s">
        <v>595</v>
      </c>
      <c r="B371" s="15">
        <v>45922</v>
      </c>
      <c r="C371" s="9" t="s">
        <v>398</v>
      </c>
      <c r="D371" s="9" t="s">
        <v>142</v>
      </c>
      <c r="E371" s="9" t="s">
        <v>29</v>
      </c>
      <c r="F371" s="9" t="s">
        <v>30</v>
      </c>
      <c r="G371" s="9" t="s">
        <v>35</v>
      </c>
      <c r="H371" s="16">
        <v>5</v>
      </c>
      <c r="I371" s="17">
        <v>280</v>
      </c>
      <c r="J371" s="18">
        <v>0.02</v>
      </c>
      <c r="K371" s="17">
        <v>1372</v>
      </c>
      <c r="L371" s="17">
        <v>850</v>
      </c>
      <c r="M371" s="17">
        <v>522</v>
      </c>
      <c r="N371" s="18">
        <v>0.3805</v>
      </c>
    </row>
    <row r="372" spans="1:14" ht="14.5" x14ac:dyDescent="0.35">
      <c r="A372" s="9" t="s">
        <v>596</v>
      </c>
      <c r="B372" s="15">
        <v>45924</v>
      </c>
      <c r="C372" s="9" t="s">
        <v>135</v>
      </c>
      <c r="D372" s="9" t="s">
        <v>52</v>
      </c>
      <c r="E372" s="9" t="s">
        <v>23</v>
      </c>
      <c r="F372" s="9" t="s">
        <v>30</v>
      </c>
      <c r="G372" s="9" t="s">
        <v>19</v>
      </c>
      <c r="H372" s="16">
        <v>8</v>
      </c>
      <c r="I372" s="17">
        <v>35</v>
      </c>
      <c r="J372" s="18">
        <v>0.05</v>
      </c>
      <c r="K372" s="17">
        <v>266</v>
      </c>
      <c r="L372" s="17">
        <v>144</v>
      </c>
      <c r="M372" s="17">
        <v>122</v>
      </c>
      <c r="N372" s="18">
        <v>0.45860000000000001</v>
      </c>
    </row>
    <row r="373" spans="1:14" ht="14.5" x14ac:dyDescent="0.35">
      <c r="A373" s="9" t="s">
        <v>597</v>
      </c>
      <c r="B373" s="15">
        <v>45925</v>
      </c>
      <c r="C373" s="9" t="s">
        <v>246</v>
      </c>
      <c r="D373" s="9" t="s">
        <v>142</v>
      </c>
      <c r="E373" s="9" t="s">
        <v>29</v>
      </c>
      <c r="F373" s="9" t="s">
        <v>24</v>
      </c>
      <c r="G373" s="9" t="s">
        <v>19</v>
      </c>
      <c r="H373" s="16">
        <v>8</v>
      </c>
      <c r="I373" s="17">
        <v>280</v>
      </c>
      <c r="J373" s="18">
        <v>0.02</v>
      </c>
      <c r="K373" s="17">
        <v>2195.1999999999998</v>
      </c>
      <c r="L373" s="17">
        <v>1360</v>
      </c>
      <c r="M373" s="17">
        <v>835.2</v>
      </c>
      <c r="N373" s="18">
        <v>0.3805</v>
      </c>
    </row>
    <row r="374" spans="1:14" ht="14.5" x14ac:dyDescent="0.35">
      <c r="A374" s="9" t="s">
        <v>598</v>
      </c>
      <c r="B374" s="15">
        <v>45925</v>
      </c>
      <c r="C374" s="9" t="s">
        <v>599</v>
      </c>
      <c r="D374" s="9" t="s">
        <v>43</v>
      </c>
      <c r="E374" s="9" t="s">
        <v>23</v>
      </c>
      <c r="F374" s="9" t="s">
        <v>24</v>
      </c>
      <c r="G374" s="9" t="s">
        <v>19</v>
      </c>
      <c r="H374" s="16">
        <v>7</v>
      </c>
      <c r="I374" s="17">
        <v>75</v>
      </c>
      <c r="J374" s="18">
        <v>0</v>
      </c>
      <c r="K374" s="17">
        <v>525</v>
      </c>
      <c r="L374" s="17">
        <v>280</v>
      </c>
      <c r="M374" s="17">
        <v>245</v>
      </c>
      <c r="N374" s="18">
        <v>0.4667</v>
      </c>
    </row>
    <row r="375" spans="1:14" ht="14.5" x14ac:dyDescent="0.35">
      <c r="A375" s="9" t="s">
        <v>600</v>
      </c>
      <c r="B375" s="15">
        <v>45925</v>
      </c>
      <c r="C375" s="9" t="s">
        <v>89</v>
      </c>
      <c r="D375" s="9" t="s">
        <v>28</v>
      </c>
      <c r="E375" s="9" t="s">
        <v>29</v>
      </c>
      <c r="F375" s="9" t="s">
        <v>18</v>
      </c>
      <c r="G375" s="9" t="s">
        <v>49</v>
      </c>
      <c r="H375" s="16">
        <v>9</v>
      </c>
      <c r="I375" s="17">
        <v>850</v>
      </c>
      <c r="J375" s="18">
        <v>0.02</v>
      </c>
      <c r="K375" s="17">
        <v>7497</v>
      </c>
      <c r="L375" s="17">
        <v>4680</v>
      </c>
      <c r="M375" s="17">
        <v>2817</v>
      </c>
      <c r="N375" s="18">
        <v>0.37580000000000002</v>
      </c>
    </row>
    <row r="376" spans="1:14" ht="14.5" x14ac:dyDescent="0.35">
      <c r="A376" s="9" t="s">
        <v>601</v>
      </c>
      <c r="B376" s="15">
        <v>45926</v>
      </c>
      <c r="C376" s="9" t="s">
        <v>602</v>
      </c>
      <c r="D376" s="9" t="s">
        <v>16</v>
      </c>
      <c r="E376" s="9" t="s">
        <v>17</v>
      </c>
      <c r="F376" s="9" t="s">
        <v>24</v>
      </c>
      <c r="G376" s="9" t="s">
        <v>25</v>
      </c>
      <c r="H376" s="16">
        <v>9</v>
      </c>
      <c r="I376" s="17">
        <v>210</v>
      </c>
      <c r="J376" s="18">
        <v>0.02</v>
      </c>
      <c r="K376" s="17">
        <v>1852.2</v>
      </c>
      <c r="L376" s="17">
        <v>1125</v>
      </c>
      <c r="M376" s="17">
        <v>727.2</v>
      </c>
      <c r="N376" s="18">
        <v>0.3926</v>
      </c>
    </row>
    <row r="377" spans="1:14" ht="14.5" x14ac:dyDescent="0.35">
      <c r="A377" s="9" t="s">
        <v>603</v>
      </c>
      <c r="B377" s="15">
        <v>45928</v>
      </c>
      <c r="C377" s="9" t="s">
        <v>436</v>
      </c>
      <c r="D377" s="9" t="s">
        <v>60</v>
      </c>
      <c r="E377" s="9" t="s">
        <v>34</v>
      </c>
      <c r="F377" s="9" t="s">
        <v>38</v>
      </c>
      <c r="G377" s="9" t="s">
        <v>25</v>
      </c>
      <c r="H377" s="16">
        <v>5</v>
      </c>
      <c r="I377" s="17">
        <v>240</v>
      </c>
      <c r="J377" s="18">
        <v>0</v>
      </c>
      <c r="K377" s="17">
        <v>1200</v>
      </c>
      <c r="L377" s="17">
        <v>725</v>
      </c>
      <c r="M377" s="17">
        <v>475</v>
      </c>
      <c r="N377" s="18">
        <v>0.39579999999999999</v>
      </c>
    </row>
    <row r="378" spans="1:14" ht="14.5" x14ac:dyDescent="0.35">
      <c r="A378" s="9" t="s">
        <v>604</v>
      </c>
      <c r="B378" s="15">
        <v>45929</v>
      </c>
      <c r="C378" s="9" t="s">
        <v>537</v>
      </c>
      <c r="D378" s="9" t="s">
        <v>16</v>
      </c>
      <c r="E378" s="9" t="s">
        <v>17</v>
      </c>
      <c r="F378" s="9" t="s">
        <v>24</v>
      </c>
      <c r="G378" s="9" t="s">
        <v>46</v>
      </c>
      <c r="H378" s="16">
        <v>10</v>
      </c>
      <c r="I378" s="17">
        <v>210</v>
      </c>
      <c r="J378" s="18">
        <v>0.05</v>
      </c>
      <c r="K378" s="17">
        <v>1995</v>
      </c>
      <c r="L378" s="17">
        <v>1250</v>
      </c>
      <c r="M378" s="17">
        <v>745</v>
      </c>
      <c r="N378" s="18">
        <v>0.37340000000000001</v>
      </c>
    </row>
    <row r="379" spans="1:14" ht="14.5" x14ac:dyDescent="0.35">
      <c r="A379" s="9" t="s">
        <v>605</v>
      </c>
      <c r="B379" s="15">
        <v>45929</v>
      </c>
      <c r="C379" s="9" t="s">
        <v>504</v>
      </c>
      <c r="D379" s="9" t="s">
        <v>52</v>
      </c>
      <c r="E379" s="9" t="s">
        <v>23</v>
      </c>
      <c r="F379" s="9" t="s">
        <v>30</v>
      </c>
      <c r="G379" s="9" t="s">
        <v>19</v>
      </c>
      <c r="H379" s="16">
        <v>5</v>
      </c>
      <c r="I379" s="17">
        <v>35</v>
      </c>
      <c r="J379" s="18">
        <v>0.02</v>
      </c>
      <c r="K379" s="17">
        <v>171.5</v>
      </c>
      <c r="L379" s="17">
        <v>90</v>
      </c>
      <c r="M379" s="17">
        <v>81.5</v>
      </c>
      <c r="N379" s="18">
        <v>0.47520000000000001</v>
      </c>
    </row>
    <row r="380" spans="1:14" ht="14.5" x14ac:dyDescent="0.35">
      <c r="A380" s="9" t="s">
        <v>606</v>
      </c>
      <c r="B380" s="15">
        <v>45930</v>
      </c>
      <c r="C380" s="9" t="s">
        <v>436</v>
      </c>
      <c r="D380" s="9" t="s">
        <v>60</v>
      </c>
      <c r="E380" s="9" t="s">
        <v>34</v>
      </c>
      <c r="F380" s="9" t="s">
        <v>18</v>
      </c>
      <c r="G380" s="9" t="s">
        <v>19</v>
      </c>
      <c r="H380" s="16">
        <v>1</v>
      </c>
      <c r="I380" s="17">
        <v>240</v>
      </c>
      <c r="J380" s="18">
        <v>0.05</v>
      </c>
      <c r="K380" s="17">
        <v>228</v>
      </c>
      <c r="L380" s="17">
        <v>145</v>
      </c>
      <c r="M380" s="17">
        <v>83</v>
      </c>
      <c r="N380" s="18">
        <v>0.36399999999999999</v>
      </c>
    </row>
    <row r="381" spans="1:14" ht="14.5" x14ac:dyDescent="0.35">
      <c r="A381" s="9" t="s">
        <v>607</v>
      </c>
      <c r="B381" s="15">
        <v>45930</v>
      </c>
      <c r="C381" s="9" t="s">
        <v>608</v>
      </c>
      <c r="D381" s="9" t="s">
        <v>22</v>
      </c>
      <c r="E381" s="9" t="s">
        <v>23</v>
      </c>
      <c r="F381" s="9" t="s">
        <v>30</v>
      </c>
      <c r="G381" s="9" t="s">
        <v>46</v>
      </c>
      <c r="H381" s="16">
        <v>8</v>
      </c>
      <c r="I381" s="17">
        <v>65</v>
      </c>
      <c r="J381" s="18">
        <v>0.02</v>
      </c>
      <c r="K381" s="17">
        <v>509.6</v>
      </c>
      <c r="L381" s="17">
        <v>280</v>
      </c>
      <c r="M381" s="17">
        <v>229.6</v>
      </c>
      <c r="N381" s="18">
        <v>0.45050000000000001</v>
      </c>
    </row>
    <row r="382" spans="1:14" ht="14.5" x14ac:dyDescent="0.35">
      <c r="A382" s="9" t="s">
        <v>609</v>
      </c>
      <c r="B382" s="15">
        <v>45930</v>
      </c>
      <c r="C382" s="9" t="s">
        <v>80</v>
      </c>
      <c r="D382" s="9" t="s">
        <v>16</v>
      </c>
      <c r="E382" s="9" t="s">
        <v>17</v>
      </c>
      <c r="F382" s="9" t="s">
        <v>24</v>
      </c>
      <c r="G382" s="9" t="s">
        <v>53</v>
      </c>
      <c r="H382" s="16">
        <v>8</v>
      </c>
      <c r="I382" s="17">
        <v>210</v>
      </c>
      <c r="J382" s="18">
        <v>0</v>
      </c>
      <c r="K382" s="17">
        <v>1680</v>
      </c>
      <c r="L382" s="17">
        <v>1000</v>
      </c>
      <c r="M382" s="17">
        <v>680</v>
      </c>
      <c r="N382" s="18">
        <v>0.40479999999999999</v>
      </c>
    </row>
    <row r="383" spans="1:14" ht="14.5" x14ac:dyDescent="0.35">
      <c r="A383" s="9" t="s">
        <v>610</v>
      </c>
      <c r="B383" s="15">
        <v>45932</v>
      </c>
      <c r="C383" s="9" t="s">
        <v>353</v>
      </c>
      <c r="D383" s="9" t="s">
        <v>52</v>
      </c>
      <c r="E383" s="9" t="s">
        <v>23</v>
      </c>
      <c r="F383" s="9" t="s">
        <v>30</v>
      </c>
      <c r="G383" s="9" t="s">
        <v>19</v>
      </c>
      <c r="H383" s="16">
        <v>1</v>
      </c>
      <c r="I383" s="17">
        <v>35</v>
      </c>
      <c r="J383" s="18">
        <v>0.1</v>
      </c>
      <c r="K383" s="17">
        <v>31.5</v>
      </c>
      <c r="L383" s="17">
        <v>18</v>
      </c>
      <c r="M383" s="17">
        <v>13.5</v>
      </c>
      <c r="N383" s="18">
        <v>0.42859999999999998</v>
      </c>
    </row>
    <row r="384" spans="1:14" ht="14.5" x14ac:dyDescent="0.35">
      <c r="A384" s="9" t="s">
        <v>611</v>
      </c>
      <c r="B384" s="15">
        <v>45932</v>
      </c>
      <c r="C384" s="9" t="s">
        <v>355</v>
      </c>
      <c r="D384" s="9" t="s">
        <v>16</v>
      </c>
      <c r="E384" s="9" t="s">
        <v>17</v>
      </c>
      <c r="F384" s="9" t="s">
        <v>30</v>
      </c>
      <c r="G384" s="9" t="s">
        <v>35</v>
      </c>
      <c r="H384" s="16">
        <v>5</v>
      </c>
      <c r="I384" s="17">
        <v>210</v>
      </c>
      <c r="J384" s="18">
        <v>0.15</v>
      </c>
      <c r="K384" s="17">
        <v>892.5</v>
      </c>
      <c r="L384" s="17">
        <v>625</v>
      </c>
      <c r="M384" s="17">
        <v>267.5</v>
      </c>
      <c r="N384" s="18">
        <v>0.29970000000000002</v>
      </c>
    </row>
    <row r="385" spans="1:14" ht="14.5" x14ac:dyDescent="0.35">
      <c r="A385" s="9" t="s">
        <v>612</v>
      </c>
      <c r="B385" s="15">
        <v>45934</v>
      </c>
      <c r="C385" s="9" t="s">
        <v>544</v>
      </c>
      <c r="D385" s="9" t="s">
        <v>22</v>
      </c>
      <c r="E385" s="9" t="s">
        <v>23</v>
      </c>
      <c r="F385" s="9" t="s">
        <v>18</v>
      </c>
      <c r="G385" s="9" t="s">
        <v>19</v>
      </c>
      <c r="H385" s="16">
        <v>4</v>
      </c>
      <c r="I385" s="17">
        <v>65</v>
      </c>
      <c r="J385" s="18">
        <v>0</v>
      </c>
      <c r="K385" s="17">
        <v>260</v>
      </c>
      <c r="L385" s="17">
        <v>140</v>
      </c>
      <c r="M385" s="17">
        <v>120</v>
      </c>
      <c r="N385" s="18">
        <v>0.46150000000000002</v>
      </c>
    </row>
    <row r="386" spans="1:14" ht="14.5" x14ac:dyDescent="0.35">
      <c r="A386" s="9" t="s">
        <v>613</v>
      </c>
      <c r="B386" s="15">
        <v>45934</v>
      </c>
      <c r="C386" s="9" t="s">
        <v>346</v>
      </c>
      <c r="D386" s="9" t="s">
        <v>16</v>
      </c>
      <c r="E386" s="9" t="s">
        <v>17</v>
      </c>
      <c r="F386" s="9" t="s">
        <v>30</v>
      </c>
      <c r="G386" s="9" t="s">
        <v>35</v>
      </c>
      <c r="H386" s="16">
        <v>3</v>
      </c>
      <c r="I386" s="17">
        <v>210</v>
      </c>
      <c r="J386" s="18">
        <v>0.02</v>
      </c>
      <c r="K386" s="17">
        <v>617.4</v>
      </c>
      <c r="L386" s="17">
        <v>375</v>
      </c>
      <c r="M386" s="17">
        <v>242.4</v>
      </c>
      <c r="N386" s="18">
        <v>0.3926</v>
      </c>
    </row>
    <row r="387" spans="1:14" ht="14.5" x14ac:dyDescent="0.35">
      <c r="A387" s="9" t="s">
        <v>614</v>
      </c>
      <c r="B387" s="15">
        <v>45935</v>
      </c>
      <c r="C387" s="9" t="s">
        <v>615</v>
      </c>
      <c r="D387" s="9" t="s">
        <v>33</v>
      </c>
      <c r="E387" s="9" t="s">
        <v>34</v>
      </c>
      <c r="F387" s="9" t="s">
        <v>24</v>
      </c>
      <c r="G387" s="9" t="s">
        <v>35</v>
      </c>
      <c r="H387" s="16">
        <v>2</v>
      </c>
      <c r="I387" s="17">
        <v>320</v>
      </c>
      <c r="J387" s="18">
        <v>0</v>
      </c>
      <c r="K387" s="17">
        <v>640</v>
      </c>
      <c r="L387" s="17">
        <v>390</v>
      </c>
      <c r="M387" s="17">
        <v>250</v>
      </c>
      <c r="N387" s="18">
        <v>0.3906</v>
      </c>
    </row>
    <row r="388" spans="1:14" ht="14.5" x14ac:dyDescent="0.35">
      <c r="A388" s="9" t="s">
        <v>616</v>
      </c>
      <c r="B388" s="15">
        <v>45936</v>
      </c>
      <c r="C388" s="9" t="s">
        <v>387</v>
      </c>
      <c r="D388" s="9" t="s">
        <v>33</v>
      </c>
      <c r="E388" s="9" t="s">
        <v>34</v>
      </c>
      <c r="F388" s="9" t="s">
        <v>18</v>
      </c>
      <c r="G388" s="9" t="s">
        <v>46</v>
      </c>
      <c r="H388" s="16">
        <v>1</v>
      </c>
      <c r="I388" s="17">
        <v>320</v>
      </c>
      <c r="J388" s="18">
        <v>0.1</v>
      </c>
      <c r="K388" s="17">
        <v>288</v>
      </c>
      <c r="L388" s="17">
        <v>195</v>
      </c>
      <c r="M388" s="17">
        <v>93</v>
      </c>
      <c r="N388" s="18">
        <v>0.32290000000000002</v>
      </c>
    </row>
    <row r="389" spans="1:14" ht="14.5" x14ac:dyDescent="0.35">
      <c r="A389" s="9" t="s">
        <v>617</v>
      </c>
      <c r="B389" s="15">
        <v>45936</v>
      </c>
      <c r="C389" s="9" t="s">
        <v>618</v>
      </c>
      <c r="D389" s="9" t="s">
        <v>60</v>
      </c>
      <c r="E389" s="9" t="s">
        <v>34</v>
      </c>
      <c r="F389" s="9" t="s">
        <v>24</v>
      </c>
      <c r="G389" s="9" t="s">
        <v>25</v>
      </c>
      <c r="H389" s="16">
        <v>3</v>
      </c>
      <c r="I389" s="17">
        <v>240</v>
      </c>
      <c r="J389" s="18">
        <v>0.05</v>
      </c>
      <c r="K389" s="17">
        <v>684</v>
      </c>
      <c r="L389" s="17">
        <v>435</v>
      </c>
      <c r="M389" s="17">
        <v>249</v>
      </c>
      <c r="N389" s="18">
        <v>0.36399999999999999</v>
      </c>
    </row>
    <row r="390" spans="1:14" ht="14.5" x14ac:dyDescent="0.35">
      <c r="A390" s="9" t="s">
        <v>619</v>
      </c>
      <c r="B390" s="15">
        <v>45937</v>
      </c>
      <c r="C390" s="9" t="s">
        <v>303</v>
      </c>
      <c r="D390" s="9" t="s">
        <v>43</v>
      </c>
      <c r="E390" s="9" t="s">
        <v>23</v>
      </c>
      <c r="F390" s="9" t="s">
        <v>18</v>
      </c>
      <c r="G390" s="9" t="s">
        <v>35</v>
      </c>
      <c r="H390" s="16">
        <v>8</v>
      </c>
      <c r="I390" s="17">
        <v>75</v>
      </c>
      <c r="J390" s="18">
        <v>0.02</v>
      </c>
      <c r="K390" s="17">
        <v>588</v>
      </c>
      <c r="L390" s="17">
        <v>320</v>
      </c>
      <c r="M390" s="17">
        <v>268</v>
      </c>
      <c r="N390" s="18">
        <v>0.45579999999999998</v>
      </c>
    </row>
    <row r="391" spans="1:14" ht="14.5" x14ac:dyDescent="0.35">
      <c r="A391" s="9" t="s">
        <v>620</v>
      </c>
      <c r="B391" s="15">
        <v>45937</v>
      </c>
      <c r="C391" s="9" t="s">
        <v>585</v>
      </c>
      <c r="D391" s="9" t="s">
        <v>28</v>
      </c>
      <c r="E391" s="9" t="s">
        <v>29</v>
      </c>
      <c r="F391" s="9" t="s">
        <v>18</v>
      </c>
      <c r="G391" s="9" t="s">
        <v>49</v>
      </c>
      <c r="H391" s="16">
        <v>3</v>
      </c>
      <c r="I391" s="17">
        <v>850</v>
      </c>
      <c r="J391" s="18">
        <v>0.05</v>
      </c>
      <c r="K391" s="17">
        <v>2422.5</v>
      </c>
      <c r="L391" s="17">
        <v>1560</v>
      </c>
      <c r="M391" s="17">
        <v>862.5</v>
      </c>
      <c r="N391" s="18">
        <v>0.35599999999999998</v>
      </c>
    </row>
    <row r="392" spans="1:14" ht="14.5" x14ac:dyDescent="0.35">
      <c r="A392" s="9" t="s">
        <v>621</v>
      </c>
      <c r="B392" s="15">
        <v>45938</v>
      </c>
      <c r="C392" s="9" t="s">
        <v>308</v>
      </c>
      <c r="D392" s="9" t="s">
        <v>60</v>
      </c>
      <c r="E392" s="9" t="s">
        <v>34</v>
      </c>
      <c r="F392" s="9" t="s">
        <v>24</v>
      </c>
      <c r="G392" s="9" t="s">
        <v>46</v>
      </c>
      <c r="H392" s="16">
        <v>6</v>
      </c>
      <c r="I392" s="17">
        <v>240</v>
      </c>
      <c r="J392" s="18">
        <v>0.02</v>
      </c>
      <c r="K392" s="17">
        <v>1411.2</v>
      </c>
      <c r="L392" s="17">
        <v>870</v>
      </c>
      <c r="M392" s="17">
        <v>541.20000000000005</v>
      </c>
      <c r="N392" s="18">
        <v>0.38350000000000001</v>
      </c>
    </row>
    <row r="393" spans="1:14" ht="14.5" x14ac:dyDescent="0.35">
      <c r="A393" s="9" t="s">
        <v>622</v>
      </c>
      <c r="B393" s="15">
        <v>45938</v>
      </c>
      <c r="C393" s="9" t="s">
        <v>55</v>
      </c>
      <c r="D393" s="9" t="s">
        <v>33</v>
      </c>
      <c r="E393" s="9" t="s">
        <v>34</v>
      </c>
      <c r="F393" s="9" t="s">
        <v>24</v>
      </c>
      <c r="G393" s="9" t="s">
        <v>53</v>
      </c>
      <c r="H393" s="16">
        <v>1</v>
      </c>
      <c r="I393" s="17">
        <v>320</v>
      </c>
      <c r="J393" s="18">
        <v>0</v>
      </c>
      <c r="K393" s="17">
        <v>320</v>
      </c>
      <c r="L393" s="17">
        <v>195</v>
      </c>
      <c r="M393" s="17">
        <v>125</v>
      </c>
      <c r="N393" s="18">
        <v>0.3906</v>
      </c>
    </row>
    <row r="394" spans="1:14" ht="14.5" x14ac:dyDescent="0.35">
      <c r="A394" s="9" t="s">
        <v>623</v>
      </c>
      <c r="B394" s="15">
        <v>45939</v>
      </c>
      <c r="C394" s="9" t="s">
        <v>624</v>
      </c>
      <c r="D394" s="9" t="s">
        <v>60</v>
      </c>
      <c r="E394" s="9" t="s">
        <v>34</v>
      </c>
      <c r="F394" s="9" t="s">
        <v>38</v>
      </c>
      <c r="G394" s="9" t="s">
        <v>19</v>
      </c>
      <c r="H394" s="16">
        <v>2</v>
      </c>
      <c r="I394" s="17">
        <v>240</v>
      </c>
      <c r="J394" s="18">
        <v>0.05</v>
      </c>
      <c r="K394" s="17">
        <v>456</v>
      </c>
      <c r="L394" s="17">
        <v>290</v>
      </c>
      <c r="M394" s="17">
        <v>166</v>
      </c>
      <c r="N394" s="18">
        <v>0.36399999999999999</v>
      </c>
    </row>
    <row r="395" spans="1:14" ht="14.5" x14ac:dyDescent="0.35">
      <c r="A395" s="9" t="s">
        <v>625</v>
      </c>
      <c r="B395" s="15">
        <v>45940</v>
      </c>
      <c r="C395" s="9" t="s">
        <v>626</v>
      </c>
      <c r="D395" s="9" t="s">
        <v>22</v>
      </c>
      <c r="E395" s="9" t="s">
        <v>23</v>
      </c>
      <c r="F395" s="9" t="s">
        <v>30</v>
      </c>
      <c r="G395" s="9" t="s">
        <v>35</v>
      </c>
      <c r="H395" s="16">
        <v>5</v>
      </c>
      <c r="I395" s="17">
        <v>65</v>
      </c>
      <c r="J395" s="18">
        <v>0.02</v>
      </c>
      <c r="K395" s="17">
        <v>318.5</v>
      </c>
      <c r="L395" s="17">
        <v>175</v>
      </c>
      <c r="M395" s="17">
        <v>143.5</v>
      </c>
      <c r="N395" s="18">
        <v>0.45050000000000001</v>
      </c>
    </row>
    <row r="396" spans="1:14" ht="14.5" x14ac:dyDescent="0.35">
      <c r="A396" s="9" t="s">
        <v>627</v>
      </c>
      <c r="B396" s="15">
        <v>45940</v>
      </c>
      <c r="C396" s="9" t="s">
        <v>263</v>
      </c>
      <c r="D396" s="9" t="s">
        <v>28</v>
      </c>
      <c r="E396" s="9" t="s">
        <v>29</v>
      </c>
      <c r="F396" s="9" t="s">
        <v>38</v>
      </c>
      <c r="G396" s="9" t="s">
        <v>19</v>
      </c>
      <c r="H396" s="16">
        <v>8</v>
      </c>
      <c r="I396" s="17">
        <v>850</v>
      </c>
      <c r="J396" s="18">
        <v>0.1</v>
      </c>
      <c r="K396" s="17">
        <v>6120</v>
      </c>
      <c r="L396" s="17">
        <v>4160</v>
      </c>
      <c r="M396" s="17">
        <v>1960</v>
      </c>
      <c r="N396" s="18">
        <v>0.32029999999999997</v>
      </c>
    </row>
    <row r="397" spans="1:14" ht="14.5" x14ac:dyDescent="0.35">
      <c r="A397" s="9" t="s">
        <v>628</v>
      </c>
      <c r="B397" s="15">
        <v>45941</v>
      </c>
      <c r="C397" s="9" t="s">
        <v>297</v>
      </c>
      <c r="D397" s="9" t="s">
        <v>60</v>
      </c>
      <c r="E397" s="9" t="s">
        <v>34</v>
      </c>
      <c r="F397" s="9" t="s">
        <v>30</v>
      </c>
      <c r="G397" s="9" t="s">
        <v>53</v>
      </c>
      <c r="H397" s="16">
        <v>5</v>
      </c>
      <c r="I397" s="17">
        <v>240</v>
      </c>
      <c r="J397" s="18">
        <v>0</v>
      </c>
      <c r="K397" s="17">
        <v>1200</v>
      </c>
      <c r="L397" s="17">
        <v>725</v>
      </c>
      <c r="M397" s="17">
        <v>475</v>
      </c>
      <c r="N397" s="18">
        <v>0.39579999999999999</v>
      </c>
    </row>
    <row r="398" spans="1:14" ht="14.5" x14ac:dyDescent="0.35">
      <c r="A398" s="9" t="s">
        <v>629</v>
      </c>
      <c r="B398" s="15">
        <v>45942</v>
      </c>
      <c r="C398" s="9" t="s">
        <v>346</v>
      </c>
      <c r="D398" s="9" t="s">
        <v>60</v>
      </c>
      <c r="E398" s="9" t="s">
        <v>34</v>
      </c>
      <c r="F398" s="9" t="s">
        <v>30</v>
      </c>
      <c r="G398" s="9" t="s">
        <v>35</v>
      </c>
      <c r="H398" s="16">
        <v>7</v>
      </c>
      <c r="I398" s="17">
        <v>240</v>
      </c>
      <c r="J398" s="18">
        <v>0.05</v>
      </c>
      <c r="K398" s="17">
        <v>1596</v>
      </c>
      <c r="L398" s="17">
        <v>1015</v>
      </c>
      <c r="M398" s="17">
        <v>581</v>
      </c>
      <c r="N398" s="18">
        <v>0.36399999999999999</v>
      </c>
    </row>
    <row r="399" spans="1:14" ht="14.5" x14ac:dyDescent="0.35">
      <c r="A399" s="9" t="s">
        <v>630</v>
      </c>
      <c r="B399" s="15">
        <v>45942</v>
      </c>
      <c r="C399" s="9" t="s">
        <v>261</v>
      </c>
      <c r="D399" s="9" t="s">
        <v>60</v>
      </c>
      <c r="E399" s="9" t="s">
        <v>34</v>
      </c>
      <c r="F399" s="9" t="s">
        <v>38</v>
      </c>
      <c r="G399" s="9" t="s">
        <v>53</v>
      </c>
      <c r="H399" s="16">
        <v>2</v>
      </c>
      <c r="I399" s="17">
        <v>240</v>
      </c>
      <c r="J399" s="18">
        <v>0</v>
      </c>
      <c r="K399" s="17">
        <v>480</v>
      </c>
      <c r="L399" s="17">
        <v>290</v>
      </c>
      <c r="M399" s="17">
        <v>190</v>
      </c>
      <c r="N399" s="18">
        <v>0.39579999999999999</v>
      </c>
    </row>
    <row r="400" spans="1:14" ht="14.5" x14ac:dyDescent="0.35">
      <c r="A400" s="9" t="s">
        <v>631</v>
      </c>
      <c r="B400" s="15">
        <v>45942</v>
      </c>
      <c r="C400" s="9" t="s">
        <v>151</v>
      </c>
      <c r="D400" s="9" t="s">
        <v>60</v>
      </c>
      <c r="E400" s="9" t="s">
        <v>34</v>
      </c>
      <c r="F400" s="9" t="s">
        <v>38</v>
      </c>
      <c r="G400" s="9" t="s">
        <v>25</v>
      </c>
      <c r="H400" s="16">
        <v>10</v>
      </c>
      <c r="I400" s="17">
        <v>240</v>
      </c>
      <c r="J400" s="18">
        <v>0.05</v>
      </c>
      <c r="K400" s="17">
        <v>2280</v>
      </c>
      <c r="L400" s="17">
        <v>1450</v>
      </c>
      <c r="M400" s="17">
        <v>830</v>
      </c>
      <c r="N400" s="18">
        <v>0.36399999999999999</v>
      </c>
    </row>
    <row r="401" spans="1:14" ht="14.5" x14ac:dyDescent="0.35">
      <c r="A401" s="9" t="s">
        <v>632</v>
      </c>
      <c r="B401" s="15">
        <v>45943</v>
      </c>
      <c r="C401" s="9" t="s">
        <v>217</v>
      </c>
      <c r="D401" s="9" t="s">
        <v>16</v>
      </c>
      <c r="E401" s="9" t="s">
        <v>17</v>
      </c>
      <c r="F401" s="9" t="s">
        <v>30</v>
      </c>
      <c r="G401" s="9" t="s">
        <v>46</v>
      </c>
      <c r="H401" s="16">
        <v>2</v>
      </c>
      <c r="I401" s="17">
        <v>210</v>
      </c>
      <c r="J401" s="18">
        <v>0.05</v>
      </c>
      <c r="K401" s="17">
        <v>399</v>
      </c>
      <c r="L401" s="17">
        <v>250</v>
      </c>
      <c r="M401" s="17">
        <v>149</v>
      </c>
      <c r="N401" s="18">
        <v>0.37340000000000001</v>
      </c>
    </row>
    <row r="402" spans="1:14" ht="14.5" x14ac:dyDescent="0.35">
      <c r="A402" s="9" t="s">
        <v>633</v>
      </c>
      <c r="B402" s="15">
        <v>45943</v>
      </c>
      <c r="C402" s="9" t="s">
        <v>194</v>
      </c>
      <c r="D402" s="9" t="s">
        <v>52</v>
      </c>
      <c r="E402" s="9" t="s">
        <v>23</v>
      </c>
      <c r="F402" s="9" t="s">
        <v>18</v>
      </c>
      <c r="G402" s="9" t="s">
        <v>19</v>
      </c>
      <c r="H402" s="16">
        <v>10</v>
      </c>
      <c r="I402" s="17">
        <v>35</v>
      </c>
      <c r="J402" s="18">
        <v>0.05</v>
      </c>
      <c r="K402" s="17">
        <v>332.5</v>
      </c>
      <c r="L402" s="17">
        <v>180</v>
      </c>
      <c r="M402" s="17">
        <v>152.5</v>
      </c>
      <c r="N402" s="18">
        <v>0.45860000000000001</v>
      </c>
    </row>
    <row r="403" spans="1:14" ht="14.5" x14ac:dyDescent="0.35">
      <c r="A403" s="9" t="s">
        <v>634</v>
      </c>
      <c r="B403" s="15">
        <v>45943</v>
      </c>
      <c r="C403" s="9" t="s">
        <v>615</v>
      </c>
      <c r="D403" s="9" t="s">
        <v>16</v>
      </c>
      <c r="E403" s="9" t="s">
        <v>17</v>
      </c>
      <c r="F403" s="9" t="s">
        <v>18</v>
      </c>
      <c r="G403" s="9" t="s">
        <v>19</v>
      </c>
      <c r="H403" s="16">
        <v>5</v>
      </c>
      <c r="I403" s="17">
        <v>210</v>
      </c>
      <c r="J403" s="18">
        <v>0</v>
      </c>
      <c r="K403" s="17">
        <v>1050</v>
      </c>
      <c r="L403" s="17">
        <v>625</v>
      </c>
      <c r="M403" s="17">
        <v>425</v>
      </c>
      <c r="N403" s="18">
        <v>0.40479999999999999</v>
      </c>
    </row>
    <row r="404" spans="1:14" ht="14.5" x14ac:dyDescent="0.35">
      <c r="A404" s="9" t="s">
        <v>635</v>
      </c>
      <c r="B404" s="15">
        <v>45945</v>
      </c>
      <c r="C404" s="9" t="s">
        <v>55</v>
      </c>
      <c r="D404" s="9" t="s">
        <v>52</v>
      </c>
      <c r="E404" s="9" t="s">
        <v>23</v>
      </c>
      <c r="F404" s="9" t="s">
        <v>24</v>
      </c>
      <c r="G404" s="9" t="s">
        <v>49</v>
      </c>
      <c r="H404" s="16">
        <v>2</v>
      </c>
      <c r="I404" s="17">
        <v>35</v>
      </c>
      <c r="J404" s="18">
        <v>0.05</v>
      </c>
      <c r="K404" s="17">
        <v>66.5</v>
      </c>
      <c r="L404" s="17">
        <v>36</v>
      </c>
      <c r="M404" s="17">
        <v>30.5</v>
      </c>
      <c r="N404" s="18">
        <v>0.45860000000000001</v>
      </c>
    </row>
    <row r="405" spans="1:14" ht="14.5" x14ac:dyDescent="0.35">
      <c r="A405" s="9" t="s">
        <v>636</v>
      </c>
      <c r="B405" s="15">
        <v>45945</v>
      </c>
      <c r="C405" s="9" t="s">
        <v>303</v>
      </c>
      <c r="D405" s="9" t="s">
        <v>52</v>
      </c>
      <c r="E405" s="9" t="s">
        <v>23</v>
      </c>
      <c r="F405" s="9" t="s">
        <v>18</v>
      </c>
      <c r="G405" s="9" t="s">
        <v>19</v>
      </c>
      <c r="H405" s="16">
        <v>6</v>
      </c>
      <c r="I405" s="17">
        <v>35</v>
      </c>
      <c r="J405" s="18">
        <v>0.15</v>
      </c>
      <c r="K405" s="17">
        <v>178.5</v>
      </c>
      <c r="L405" s="17">
        <v>108</v>
      </c>
      <c r="M405" s="17">
        <v>70.5</v>
      </c>
      <c r="N405" s="18">
        <v>0.39500000000000002</v>
      </c>
    </row>
    <row r="406" spans="1:14" ht="14.5" x14ac:dyDescent="0.35">
      <c r="A406" s="9" t="s">
        <v>637</v>
      </c>
      <c r="B406" s="15">
        <v>45945</v>
      </c>
      <c r="C406" s="9" t="s">
        <v>548</v>
      </c>
      <c r="D406" s="9" t="s">
        <v>22</v>
      </c>
      <c r="E406" s="9" t="s">
        <v>23</v>
      </c>
      <c r="F406" s="9" t="s">
        <v>30</v>
      </c>
      <c r="G406" s="9" t="s">
        <v>25</v>
      </c>
      <c r="H406" s="16">
        <v>4</v>
      </c>
      <c r="I406" s="17">
        <v>65</v>
      </c>
      <c r="J406" s="18">
        <v>0</v>
      </c>
      <c r="K406" s="17">
        <v>260</v>
      </c>
      <c r="L406" s="17">
        <v>140</v>
      </c>
      <c r="M406" s="17">
        <v>120</v>
      </c>
      <c r="N406" s="18">
        <v>0.46150000000000002</v>
      </c>
    </row>
    <row r="407" spans="1:14" ht="14.5" x14ac:dyDescent="0.35">
      <c r="A407" s="9" t="s">
        <v>638</v>
      </c>
      <c r="B407" s="15">
        <v>45946</v>
      </c>
      <c r="C407" s="9" t="s">
        <v>213</v>
      </c>
      <c r="D407" s="9" t="s">
        <v>28</v>
      </c>
      <c r="E407" s="9" t="s">
        <v>29</v>
      </c>
      <c r="F407" s="9" t="s">
        <v>24</v>
      </c>
      <c r="G407" s="9" t="s">
        <v>35</v>
      </c>
      <c r="H407" s="16">
        <v>8</v>
      </c>
      <c r="I407" s="17">
        <v>850</v>
      </c>
      <c r="J407" s="18">
        <v>0</v>
      </c>
      <c r="K407" s="17">
        <v>6800</v>
      </c>
      <c r="L407" s="17">
        <v>4160</v>
      </c>
      <c r="M407" s="17">
        <v>2640</v>
      </c>
      <c r="N407" s="18">
        <v>0.38819999999999999</v>
      </c>
    </row>
    <row r="408" spans="1:14" ht="14.5" x14ac:dyDescent="0.35">
      <c r="A408" s="9" t="s">
        <v>639</v>
      </c>
      <c r="B408" s="15">
        <v>45946</v>
      </c>
      <c r="C408" s="9" t="s">
        <v>72</v>
      </c>
      <c r="D408" s="9" t="s">
        <v>52</v>
      </c>
      <c r="E408" s="9" t="s">
        <v>23</v>
      </c>
      <c r="F408" s="9" t="s">
        <v>24</v>
      </c>
      <c r="G408" s="9" t="s">
        <v>53</v>
      </c>
      <c r="H408" s="16">
        <v>1</v>
      </c>
      <c r="I408" s="17">
        <v>35</v>
      </c>
      <c r="J408" s="18">
        <v>0.05</v>
      </c>
      <c r="K408" s="17">
        <v>33.25</v>
      </c>
      <c r="L408" s="17">
        <v>18</v>
      </c>
      <c r="M408" s="17">
        <v>15.25</v>
      </c>
      <c r="N408" s="18">
        <v>0.45860000000000001</v>
      </c>
    </row>
    <row r="409" spans="1:14" ht="14.5" x14ac:dyDescent="0.35">
      <c r="A409" s="9" t="s">
        <v>640</v>
      </c>
      <c r="B409" s="15">
        <v>45947</v>
      </c>
      <c r="C409" s="9" t="s">
        <v>641</v>
      </c>
      <c r="D409" s="9" t="s">
        <v>142</v>
      </c>
      <c r="E409" s="9" t="s">
        <v>29</v>
      </c>
      <c r="F409" s="9" t="s">
        <v>38</v>
      </c>
      <c r="G409" s="9" t="s">
        <v>46</v>
      </c>
      <c r="H409" s="16">
        <v>9</v>
      </c>
      <c r="I409" s="17">
        <v>280</v>
      </c>
      <c r="J409" s="18">
        <v>0.1</v>
      </c>
      <c r="K409" s="17">
        <v>2268</v>
      </c>
      <c r="L409" s="17">
        <v>1530</v>
      </c>
      <c r="M409" s="17">
        <v>738</v>
      </c>
      <c r="N409" s="18">
        <v>0.32540000000000002</v>
      </c>
    </row>
    <row r="410" spans="1:14" ht="14.5" x14ac:dyDescent="0.35">
      <c r="A410" s="9" t="s">
        <v>642</v>
      </c>
      <c r="B410" s="15">
        <v>45947</v>
      </c>
      <c r="C410" s="9" t="s">
        <v>190</v>
      </c>
      <c r="D410" s="9" t="s">
        <v>52</v>
      </c>
      <c r="E410" s="9" t="s">
        <v>23</v>
      </c>
      <c r="F410" s="9" t="s">
        <v>18</v>
      </c>
      <c r="G410" s="9" t="s">
        <v>35</v>
      </c>
      <c r="H410" s="16">
        <v>8</v>
      </c>
      <c r="I410" s="17">
        <v>35</v>
      </c>
      <c r="J410" s="18">
        <v>0</v>
      </c>
      <c r="K410" s="17">
        <v>280</v>
      </c>
      <c r="L410" s="17">
        <v>144</v>
      </c>
      <c r="M410" s="17">
        <v>136</v>
      </c>
      <c r="N410" s="18">
        <v>0.48570000000000002</v>
      </c>
    </row>
    <row r="411" spans="1:14" ht="14.5" x14ac:dyDescent="0.35">
      <c r="A411" s="9" t="s">
        <v>643</v>
      </c>
      <c r="B411" s="15">
        <v>45949</v>
      </c>
      <c r="C411" s="9" t="s">
        <v>303</v>
      </c>
      <c r="D411" s="9" t="s">
        <v>52</v>
      </c>
      <c r="E411" s="9" t="s">
        <v>23</v>
      </c>
      <c r="F411" s="9" t="s">
        <v>18</v>
      </c>
      <c r="G411" s="9" t="s">
        <v>46</v>
      </c>
      <c r="H411" s="16">
        <v>7</v>
      </c>
      <c r="I411" s="17">
        <v>35</v>
      </c>
      <c r="J411" s="18">
        <v>0</v>
      </c>
      <c r="K411" s="17">
        <v>245</v>
      </c>
      <c r="L411" s="17">
        <v>126</v>
      </c>
      <c r="M411" s="17">
        <v>119</v>
      </c>
      <c r="N411" s="18">
        <v>0.48570000000000002</v>
      </c>
    </row>
    <row r="412" spans="1:14" ht="14.5" x14ac:dyDescent="0.35">
      <c r="A412" s="9" t="s">
        <v>644</v>
      </c>
      <c r="B412" s="15">
        <v>45951</v>
      </c>
      <c r="C412" s="9" t="s">
        <v>163</v>
      </c>
      <c r="D412" s="9" t="s">
        <v>52</v>
      </c>
      <c r="E412" s="9" t="s">
        <v>23</v>
      </c>
      <c r="F412" s="9" t="s">
        <v>24</v>
      </c>
      <c r="G412" s="9" t="s">
        <v>46</v>
      </c>
      <c r="H412" s="16">
        <v>10</v>
      </c>
      <c r="I412" s="17">
        <v>35</v>
      </c>
      <c r="J412" s="18">
        <v>0.02</v>
      </c>
      <c r="K412" s="17">
        <v>343</v>
      </c>
      <c r="L412" s="17">
        <v>180</v>
      </c>
      <c r="M412" s="17">
        <v>163</v>
      </c>
      <c r="N412" s="18">
        <v>0.47520000000000001</v>
      </c>
    </row>
    <row r="413" spans="1:14" ht="14.5" x14ac:dyDescent="0.35">
      <c r="A413" s="9" t="s">
        <v>645</v>
      </c>
      <c r="B413" s="15">
        <v>45956</v>
      </c>
      <c r="C413" s="9" t="s">
        <v>233</v>
      </c>
      <c r="D413" s="9" t="s">
        <v>43</v>
      </c>
      <c r="E413" s="9" t="s">
        <v>23</v>
      </c>
      <c r="F413" s="9" t="s">
        <v>24</v>
      </c>
      <c r="G413" s="9" t="s">
        <v>53</v>
      </c>
      <c r="H413" s="16">
        <v>3</v>
      </c>
      <c r="I413" s="17">
        <v>75</v>
      </c>
      <c r="J413" s="18">
        <v>0.05</v>
      </c>
      <c r="K413" s="17">
        <v>213.75</v>
      </c>
      <c r="L413" s="17">
        <v>120</v>
      </c>
      <c r="M413" s="17">
        <v>93.75</v>
      </c>
      <c r="N413" s="18">
        <v>0.43859999999999999</v>
      </c>
    </row>
    <row r="414" spans="1:14" ht="14.5" x14ac:dyDescent="0.35">
      <c r="A414" s="9" t="s">
        <v>646</v>
      </c>
      <c r="B414" s="15">
        <v>45958</v>
      </c>
      <c r="C414" s="9" t="s">
        <v>177</v>
      </c>
      <c r="D414" s="9" t="s">
        <v>28</v>
      </c>
      <c r="E414" s="9" t="s">
        <v>29</v>
      </c>
      <c r="F414" s="9" t="s">
        <v>30</v>
      </c>
      <c r="G414" s="9" t="s">
        <v>49</v>
      </c>
      <c r="H414" s="16">
        <v>10</v>
      </c>
      <c r="I414" s="17">
        <v>850</v>
      </c>
      <c r="J414" s="18">
        <v>0.05</v>
      </c>
      <c r="K414" s="17">
        <v>8075</v>
      </c>
      <c r="L414" s="17">
        <v>5200</v>
      </c>
      <c r="M414" s="17">
        <v>2875</v>
      </c>
      <c r="N414" s="18">
        <v>0.35599999999999998</v>
      </c>
    </row>
    <row r="415" spans="1:14" ht="14.5" x14ac:dyDescent="0.35">
      <c r="A415" s="9" t="s">
        <v>647</v>
      </c>
      <c r="B415" s="15">
        <v>45959</v>
      </c>
      <c r="C415" s="9" t="s">
        <v>66</v>
      </c>
      <c r="D415" s="9" t="s">
        <v>43</v>
      </c>
      <c r="E415" s="9" t="s">
        <v>23</v>
      </c>
      <c r="F415" s="9" t="s">
        <v>24</v>
      </c>
      <c r="G415" s="9" t="s">
        <v>46</v>
      </c>
      <c r="H415" s="16">
        <v>5</v>
      </c>
      <c r="I415" s="17">
        <v>75</v>
      </c>
      <c r="J415" s="18">
        <v>0</v>
      </c>
      <c r="K415" s="17">
        <v>375</v>
      </c>
      <c r="L415" s="17">
        <v>200</v>
      </c>
      <c r="M415" s="17">
        <v>175</v>
      </c>
      <c r="N415" s="18">
        <v>0.4667</v>
      </c>
    </row>
    <row r="416" spans="1:14" ht="14.5" x14ac:dyDescent="0.35">
      <c r="A416" s="9" t="s">
        <v>648</v>
      </c>
      <c r="B416" s="15">
        <v>45960</v>
      </c>
      <c r="C416" s="9" t="s">
        <v>436</v>
      </c>
      <c r="D416" s="9" t="s">
        <v>43</v>
      </c>
      <c r="E416" s="9" t="s">
        <v>23</v>
      </c>
      <c r="F416" s="9" t="s">
        <v>24</v>
      </c>
      <c r="G416" s="9" t="s">
        <v>49</v>
      </c>
      <c r="H416" s="16">
        <v>6</v>
      </c>
      <c r="I416" s="17">
        <v>75</v>
      </c>
      <c r="J416" s="18">
        <v>0.1</v>
      </c>
      <c r="K416" s="17">
        <v>405</v>
      </c>
      <c r="L416" s="17">
        <v>240</v>
      </c>
      <c r="M416" s="17">
        <v>165</v>
      </c>
      <c r="N416" s="18">
        <v>0.40739999999999998</v>
      </c>
    </row>
    <row r="417" spans="1:14" ht="14.5" x14ac:dyDescent="0.35">
      <c r="A417" s="9" t="s">
        <v>649</v>
      </c>
      <c r="B417" s="15">
        <v>45960</v>
      </c>
      <c r="C417" s="9" t="s">
        <v>226</v>
      </c>
      <c r="D417" s="9" t="s">
        <v>142</v>
      </c>
      <c r="E417" s="9" t="s">
        <v>29</v>
      </c>
      <c r="F417" s="9" t="s">
        <v>24</v>
      </c>
      <c r="G417" s="9" t="s">
        <v>53</v>
      </c>
      <c r="H417" s="16">
        <v>9</v>
      </c>
      <c r="I417" s="17">
        <v>280</v>
      </c>
      <c r="J417" s="18">
        <v>0.05</v>
      </c>
      <c r="K417" s="17">
        <v>2394</v>
      </c>
      <c r="L417" s="17">
        <v>1530</v>
      </c>
      <c r="M417" s="17">
        <v>864</v>
      </c>
      <c r="N417" s="18">
        <v>0.3609</v>
      </c>
    </row>
    <row r="418" spans="1:14" ht="14.5" x14ac:dyDescent="0.35">
      <c r="A418" s="9" t="s">
        <v>650</v>
      </c>
      <c r="B418" s="15">
        <v>45960</v>
      </c>
      <c r="C418" s="9" t="s">
        <v>89</v>
      </c>
      <c r="D418" s="9" t="s">
        <v>52</v>
      </c>
      <c r="E418" s="9" t="s">
        <v>23</v>
      </c>
      <c r="F418" s="9" t="s">
        <v>24</v>
      </c>
      <c r="G418" s="9" t="s">
        <v>46</v>
      </c>
      <c r="H418" s="16">
        <v>10</v>
      </c>
      <c r="I418" s="17">
        <v>35</v>
      </c>
      <c r="J418" s="18">
        <v>0.1</v>
      </c>
      <c r="K418" s="17">
        <v>315</v>
      </c>
      <c r="L418" s="17">
        <v>180</v>
      </c>
      <c r="M418" s="17">
        <v>135</v>
      </c>
      <c r="N418" s="18">
        <v>0.42859999999999998</v>
      </c>
    </row>
    <row r="419" spans="1:14" ht="14.5" x14ac:dyDescent="0.35">
      <c r="A419" s="9" t="s">
        <v>651</v>
      </c>
      <c r="B419" s="15">
        <v>45962</v>
      </c>
      <c r="C419" s="9" t="s">
        <v>161</v>
      </c>
      <c r="D419" s="9" t="s">
        <v>22</v>
      </c>
      <c r="E419" s="9" t="s">
        <v>23</v>
      </c>
      <c r="F419" s="9" t="s">
        <v>18</v>
      </c>
      <c r="G419" s="9" t="s">
        <v>46</v>
      </c>
      <c r="H419" s="16">
        <v>2</v>
      </c>
      <c r="I419" s="17">
        <v>65</v>
      </c>
      <c r="J419" s="18">
        <v>0.1</v>
      </c>
      <c r="K419" s="17">
        <v>117</v>
      </c>
      <c r="L419" s="17">
        <v>70</v>
      </c>
      <c r="M419" s="17">
        <v>47</v>
      </c>
      <c r="N419" s="18">
        <v>0.4017</v>
      </c>
    </row>
    <row r="420" spans="1:14" ht="14.5" x14ac:dyDescent="0.35">
      <c r="A420" s="9" t="s">
        <v>652</v>
      </c>
      <c r="B420" s="15">
        <v>45962</v>
      </c>
      <c r="C420" s="9" t="s">
        <v>346</v>
      </c>
      <c r="D420" s="9" t="s">
        <v>43</v>
      </c>
      <c r="E420" s="9" t="s">
        <v>23</v>
      </c>
      <c r="F420" s="9" t="s">
        <v>30</v>
      </c>
      <c r="G420" s="9" t="s">
        <v>25</v>
      </c>
      <c r="H420" s="16">
        <v>8</v>
      </c>
      <c r="I420" s="17">
        <v>75</v>
      </c>
      <c r="J420" s="18">
        <v>0.1</v>
      </c>
      <c r="K420" s="17">
        <v>540</v>
      </c>
      <c r="L420" s="17">
        <v>320</v>
      </c>
      <c r="M420" s="17">
        <v>220</v>
      </c>
      <c r="N420" s="18">
        <v>0.40739999999999998</v>
      </c>
    </row>
    <row r="421" spans="1:14" ht="14.5" x14ac:dyDescent="0.35">
      <c r="A421" s="9" t="s">
        <v>653</v>
      </c>
      <c r="B421" s="15">
        <v>45963</v>
      </c>
      <c r="C421" s="9" t="s">
        <v>418</v>
      </c>
      <c r="D421" s="9" t="s">
        <v>28</v>
      </c>
      <c r="E421" s="9" t="s">
        <v>29</v>
      </c>
      <c r="F421" s="9" t="s">
        <v>30</v>
      </c>
      <c r="G421" s="9" t="s">
        <v>49</v>
      </c>
      <c r="H421" s="16">
        <v>3</v>
      </c>
      <c r="I421" s="17">
        <v>850</v>
      </c>
      <c r="J421" s="18">
        <v>0.15</v>
      </c>
      <c r="K421" s="17">
        <v>2167.5</v>
      </c>
      <c r="L421" s="17">
        <v>1560</v>
      </c>
      <c r="M421" s="17">
        <v>607.5</v>
      </c>
      <c r="N421" s="18">
        <v>0.28029999999999999</v>
      </c>
    </row>
    <row r="422" spans="1:14" ht="14.5" x14ac:dyDescent="0.35">
      <c r="A422" s="9" t="s">
        <v>654</v>
      </c>
      <c r="B422" s="15">
        <v>45963</v>
      </c>
      <c r="C422" s="9" t="s">
        <v>91</v>
      </c>
      <c r="D422" s="9" t="s">
        <v>60</v>
      </c>
      <c r="E422" s="9" t="s">
        <v>34</v>
      </c>
      <c r="F422" s="9" t="s">
        <v>18</v>
      </c>
      <c r="G422" s="9" t="s">
        <v>25</v>
      </c>
      <c r="H422" s="16">
        <v>10</v>
      </c>
      <c r="I422" s="17">
        <v>240</v>
      </c>
      <c r="J422" s="18">
        <v>0.05</v>
      </c>
      <c r="K422" s="17">
        <v>2280</v>
      </c>
      <c r="L422" s="17">
        <v>1450</v>
      </c>
      <c r="M422" s="17">
        <v>830</v>
      </c>
      <c r="N422" s="18">
        <v>0.36399999999999999</v>
      </c>
    </row>
    <row r="423" spans="1:14" ht="14.5" x14ac:dyDescent="0.35">
      <c r="A423" s="9" t="s">
        <v>655</v>
      </c>
      <c r="B423" s="15">
        <v>45963</v>
      </c>
      <c r="C423" s="9" t="s">
        <v>330</v>
      </c>
      <c r="D423" s="9" t="s">
        <v>22</v>
      </c>
      <c r="E423" s="9" t="s">
        <v>23</v>
      </c>
      <c r="F423" s="9" t="s">
        <v>18</v>
      </c>
      <c r="G423" s="9" t="s">
        <v>19</v>
      </c>
      <c r="H423" s="16">
        <v>7</v>
      </c>
      <c r="I423" s="17">
        <v>65</v>
      </c>
      <c r="J423" s="18">
        <v>0.02</v>
      </c>
      <c r="K423" s="17">
        <v>445.9</v>
      </c>
      <c r="L423" s="17">
        <v>245</v>
      </c>
      <c r="M423" s="17">
        <v>200.9</v>
      </c>
      <c r="N423" s="18">
        <v>0.45050000000000001</v>
      </c>
    </row>
    <row r="424" spans="1:14" ht="14.5" x14ac:dyDescent="0.35">
      <c r="A424" s="9" t="s">
        <v>656</v>
      </c>
      <c r="B424" s="15">
        <v>45965</v>
      </c>
      <c r="C424" s="9" t="s">
        <v>246</v>
      </c>
      <c r="D424" s="9" t="s">
        <v>16</v>
      </c>
      <c r="E424" s="9" t="s">
        <v>17</v>
      </c>
      <c r="F424" s="9" t="s">
        <v>30</v>
      </c>
      <c r="G424" s="9" t="s">
        <v>49</v>
      </c>
      <c r="H424" s="16">
        <v>9</v>
      </c>
      <c r="I424" s="17">
        <v>210</v>
      </c>
      <c r="J424" s="18">
        <v>0.02</v>
      </c>
      <c r="K424" s="17">
        <v>1852.2</v>
      </c>
      <c r="L424" s="17">
        <v>1125</v>
      </c>
      <c r="M424" s="17">
        <v>727.2</v>
      </c>
      <c r="N424" s="18">
        <v>0.3926</v>
      </c>
    </row>
    <row r="425" spans="1:14" ht="14.5" x14ac:dyDescent="0.35">
      <c r="A425" s="9" t="s">
        <v>657</v>
      </c>
      <c r="B425" s="15">
        <v>45965</v>
      </c>
      <c r="C425" s="9" t="s">
        <v>226</v>
      </c>
      <c r="D425" s="9" t="s">
        <v>33</v>
      </c>
      <c r="E425" s="9" t="s">
        <v>34</v>
      </c>
      <c r="F425" s="9" t="s">
        <v>24</v>
      </c>
      <c r="G425" s="9" t="s">
        <v>25</v>
      </c>
      <c r="H425" s="16">
        <v>10</v>
      </c>
      <c r="I425" s="17">
        <v>320</v>
      </c>
      <c r="J425" s="18">
        <v>0.02</v>
      </c>
      <c r="K425" s="17">
        <v>3136</v>
      </c>
      <c r="L425" s="17">
        <v>1950</v>
      </c>
      <c r="M425" s="17">
        <v>1186</v>
      </c>
      <c r="N425" s="18">
        <v>0.37819999999999998</v>
      </c>
    </row>
    <row r="426" spans="1:14" ht="14.5" x14ac:dyDescent="0.35">
      <c r="A426" s="9" t="s">
        <v>658</v>
      </c>
      <c r="B426" s="15">
        <v>45968</v>
      </c>
      <c r="C426" s="9" t="s">
        <v>127</v>
      </c>
      <c r="D426" s="9" t="s">
        <v>52</v>
      </c>
      <c r="E426" s="9" t="s">
        <v>23</v>
      </c>
      <c r="F426" s="9" t="s">
        <v>30</v>
      </c>
      <c r="G426" s="9" t="s">
        <v>19</v>
      </c>
      <c r="H426" s="16">
        <v>4</v>
      </c>
      <c r="I426" s="17">
        <v>35</v>
      </c>
      <c r="J426" s="18">
        <v>0.05</v>
      </c>
      <c r="K426" s="17">
        <v>133</v>
      </c>
      <c r="L426" s="17">
        <v>72</v>
      </c>
      <c r="M426" s="17">
        <v>61</v>
      </c>
      <c r="N426" s="18">
        <v>0.45860000000000001</v>
      </c>
    </row>
    <row r="427" spans="1:14" ht="14.5" x14ac:dyDescent="0.35">
      <c r="A427" s="9" t="s">
        <v>659</v>
      </c>
      <c r="B427" s="15">
        <v>45968</v>
      </c>
      <c r="C427" s="9" t="s">
        <v>319</v>
      </c>
      <c r="D427" s="9" t="s">
        <v>22</v>
      </c>
      <c r="E427" s="9" t="s">
        <v>23</v>
      </c>
      <c r="F427" s="9" t="s">
        <v>30</v>
      </c>
      <c r="G427" s="9" t="s">
        <v>53</v>
      </c>
      <c r="H427" s="16">
        <v>9</v>
      </c>
      <c r="I427" s="17">
        <v>65</v>
      </c>
      <c r="J427" s="18">
        <v>0.02</v>
      </c>
      <c r="K427" s="17">
        <v>573.29999999999995</v>
      </c>
      <c r="L427" s="17">
        <v>315</v>
      </c>
      <c r="M427" s="17">
        <v>258.3</v>
      </c>
      <c r="N427" s="18">
        <v>0.45050000000000001</v>
      </c>
    </row>
    <row r="428" spans="1:14" ht="14.5" x14ac:dyDescent="0.35">
      <c r="A428" s="9" t="s">
        <v>660</v>
      </c>
      <c r="B428" s="15">
        <v>45969</v>
      </c>
      <c r="C428" s="9" t="s">
        <v>661</v>
      </c>
      <c r="D428" s="9" t="s">
        <v>52</v>
      </c>
      <c r="E428" s="9" t="s">
        <v>23</v>
      </c>
      <c r="F428" s="9" t="s">
        <v>18</v>
      </c>
      <c r="G428" s="9" t="s">
        <v>46</v>
      </c>
      <c r="H428" s="16">
        <v>2</v>
      </c>
      <c r="I428" s="17">
        <v>35</v>
      </c>
      <c r="J428" s="18">
        <v>0.02</v>
      </c>
      <c r="K428" s="17">
        <v>68.599999999999994</v>
      </c>
      <c r="L428" s="17">
        <v>36</v>
      </c>
      <c r="M428" s="17">
        <v>32.6</v>
      </c>
      <c r="N428" s="18">
        <v>0.47520000000000001</v>
      </c>
    </row>
    <row r="429" spans="1:14" ht="14.5" x14ac:dyDescent="0.35">
      <c r="A429" s="9" t="s">
        <v>662</v>
      </c>
      <c r="B429" s="15">
        <v>45969</v>
      </c>
      <c r="C429" s="9" t="s">
        <v>207</v>
      </c>
      <c r="D429" s="9" t="s">
        <v>16</v>
      </c>
      <c r="E429" s="9" t="s">
        <v>17</v>
      </c>
      <c r="F429" s="9" t="s">
        <v>38</v>
      </c>
      <c r="G429" s="9" t="s">
        <v>35</v>
      </c>
      <c r="H429" s="16">
        <v>1</v>
      </c>
      <c r="I429" s="17">
        <v>210</v>
      </c>
      <c r="J429" s="18">
        <v>0</v>
      </c>
      <c r="K429" s="17">
        <v>210</v>
      </c>
      <c r="L429" s="17">
        <v>125</v>
      </c>
      <c r="M429" s="17">
        <v>85</v>
      </c>
      <c r="N429" s="18">
        <v>0.40479999999999999</v>
      </c>
    </row>
    <row r="430" spans="1:14" ht="14.5" x14ac:dyDescent="0.35">
      <c r="A430" s="9" t="s">
        <v>663</v>
      </c>
      <c r="B430" s="15">
        <v>45970</v>
      </c>
      <c r="C430" s="9" t="s">
        <v>664</v>
      </c>
      <c r="D430" s="9" t="s">
        <v>33</v>
      </c>
      <c r="E430" s="9" t="s">
        <v>34</v>
      </c>
      <c r="F430" s="9" t="s">
        <v>18</v>
      </c>
      <c r="G430" s="9" t="s">
        <v>35</v>
      </c>
      <c r="H430" s="16">
        <v>7</v>
      </c>
      <c r="I430" s="17">
        <v>320</v>
      </c>
      <c r="J430" s="18">
        <v>0.05</v>
      </c>
      <c r="K430" s="17">
        <v>2128</v>
      </c>
      <c r="L430" s="17">
        <v>1365</v>
      </c>
      <c r="M430" s="17">
        <v>763</v>
      </c>
      <c r="N430" s="18">
        <v>0.35859999999999997</v>
      </c>
    </row>
    <row r="431" spans="1:14" ht="14.5" x14ac:dyDescent="0.35">
      <c r="A431" s="9" t="s">
        <v>665</v>
      </c>
      <c r="B431" s="15">
        <v>45970</v>
      </c>
      <c r="C431" s="9" t="s">
        <v>278</v>
      </c>
      <c r="D431" s="9" t="s">
        <v>33</v>
      </c>
      <c r="E431" s="9" t="s">
        <v>34</v>
      </c>
      <c r="F431" s="9" t="s">
        <v>30</v>
      </c>
      <c r="G431" s="9" t="s">
        <v>53</v>
      </c>
      <c r="H431" s="16">
        <v>8</v>
      </c>
      <c r="I431" s="17">
        <v>320</v>
      </c>
      <c r="J431" s="18">
        <v>0.05</v>
      </c>
      <c r="K431" s="17">
        <v>2432</v>
      </c>
      <c r="L431" s="17">
        <v>1560</v>
      </c>
      <c r="M431" s="17">
        <v>872</v>
      </c>
      <c r="N431" s="18">
        <v>0.35859999999999997</v>
      </c>
    </row>
    <row r="432" spans="1:14" ht="14.5" x14ac:dyDescent="0.35">
      <c r="A432" s="9" t="s">
        <v>666</v>
      </c>
      <c r="B432" s="15">
        <v>45971</v>
      </c>
      <c r="C432" s="9" t="s">
        <v>127</v>
      </c>
      <c r="D432" s="9" t="s">
        <v>52</v>
      </c>
      <c r="E432" s="9" t="s">
        <v>23</v>
      </c>
      <c r="F432" s="9" t="s">
        <v>18</v>
      </c>
      <c r="G432" s="9" t="s">
        <v>25</v>
      </c>
      <c r="H432" s="16">
        <v>1</v>
      </c>
      <c r="I432" s="17">
        <v>35</v>
      </c>
      <c r="J432" s="18">
        <v>0</v>
      </c>
      <c r="K432" s="17">
        <v>35</v>
      </c>
      <c r="L432" s="17">
        <v>18</v>
      </c>
      <c r="M432" s="17">
        <v>17</v>
      </c>
      <c r="N432" s="18">
        <v>0.48570000000000002</v>
      </c>
    </row>
    <row r="433" spans="1:14" ht="14.5" x14ac:dyDescent="0.35">
      <c r="A433" s="9" t="s">
        <v>667</v>
      </c>
      <c r="B433" s="15">
        <v>45971</v>
      </c>
      <c r="C433" s="9" t="s">
        <v>668</v>
      </c>
      <c r="D433" s="9" t="s">
        <v>16</v>
      </c>
      <c r="E433" s="9" t="s">
        <v>17</v>
      </c>
      <c r="F433" s="9" t="s">
        <v>38</v>
      </c>
      <c r="G433" s="9" t="s">
        <v>53</v>
      </c>
      <c r="H433" s="16">
        <v>8</v>
      </c>
      <c r="I433" s="17">
        <v>210</v>
      </c>
      <c r="J433" s="18">
        <v>0.05</v>
      </c>
      <c r="K433" s="17">
        <v>1596</v>
      </c>
      <c r="L433" s="17">
        <v>1000</v>
      </c>
      <c r="M433" s="17">
        <v>596</v>
      </c>
      <c r="N433" s="18">
        <v>0.37340000000000001</v>
      </c>
    </row>
    <row r="434" spans="1:14" ht="14.5" x14ac:dyDescent="0.35">
      <c r="A434" s="9" t="s">
        <v>669</v>
      </c>
      <c r="B434" s="15">
        <v>45972</v>
      </c>
      <c r="C434" s="9" t="s">
        <v>670</v>
      </c>
      <c r="D434" s="9" t="s">
        <v>28</v>
      </c>
      <c r="E434" s="9" t="s">
        <v>29</v>
      </c>
      <c r="F434" s="9" t="s">
        <v>38</v>
      </c>
      <c r="G434" s="9" t="s">
        <v>53</v>
      </c>
      <c r="H434" s="16">
        <v>10</v>
      </c>
      <c r="I434" s="17">
        <v>850</v>
      </c>
      <c r="J434" s="18">
        <v>0</v>
      </c>
      <c r="K434" s="17">
        <v>8500</v>
      </c>
      <c r="L434" s="17">
        <v>5200</v>
      </c>
      <c r="M434" s="17">
        <v>3300</v>
      </c>
      <c r="N434" s="18">
        <v>0.38819999999999999</v>
      </c>
    </row>
    <row r="435" spans="1:14" ht="14.5" x14ac:dyDescent="0.35">
      <c r="A435" s="9" t="s">
        <v>671</v>
      </c>
      <c r="B435" s="15">
        <v>45973</v>
      </c>
      <c r="C435" s="9" t="s">
        <v>672</v>
      </c>
      <c r="D435" s="9" t="s">
        <v>142</v>
      </c>
      <c r="E435" s="9" t="s">
        <v>29</v>
      </c>
      <c r="F435" s="9" t="s">
        <v>30</v>
      </c>
      <c r="G435" s="9" t="s">
        <v>49</v>
      </c>
      <c r="H435" s="16">
        <v>7</v>
      </c>
      <c r="I435" s="17">
        <v>280</v>
      </c>
      <c r="J435" s="18">
        <v>0.02</v>
      </c>
      <c r="K435" s="17">
        <v>1920.8</v>
      </c>
      <c r="L435" s="17">
        <v>1190</v>
      </c>
      <c r="M435" s="17">
        <v>730.8</v>
      </c>
      <c r="N435" s="18">
        <v>0.3805</v>
      </c>
    </row>
    <row r="436" spans="1:14" ht="14.5" x14ac:dyDescent="0.35">
      <c r="A436" s="9" t="s">
        <v>673</v>
      </c>
      <c r="B436" s="15">
        <v>45973</v>
      </c>
      <c r="C436" s="9" t="s">
        <v>674</v>
      </c>
      <c r="D436" s="9" t="s">
        <v>43</v>
      </c>
      <c r="E436" s="9" t="s">
        <v>23</v>
      </c>
      <c r="F436" s="9" t="s">
        <v>38</v>
      </c>
      <c r="G436" s="9" t="s">
        <v>46</v>
      </c>
      <c r="H436" s="16">
        <v>9</v>
      </c>
      <c r="I436" s="17">
        <v>75</v>
      </c>
      <c r="J436" s="18">
        <v>0.05</v>
      </c>
      <c r="K436" s="17">
        <v>641.25</v>
      </c>
      <c r="L436" s="17">
        <v>360</v>
      </c>
      <c r="M436" s="17">
        <v>281.25</v>
      </c>
      <c r="N436" s="18">
        <v>0.43859999999999999</v>
      </c>
    </row>
    <row r="437" spans="1:14" ht="14.5" x14ac:dyDescent="0.35">
      <c r="A437" s="9" t="s">
        <v>675</v>
      </c>
      <c r="B437" s="15">
        <v>45974</v>
      </c>
      <c r="C437" s="9" t="s">
        <v>626</v>
      </c>
      <c r="D437" s="9" t="s">
        <v>28</v>
      </c>
      <c r="E437" s="9" t="s">
        <v>29</v>
      </c>
      <c r="F437" s="9" t="s">
        <v>18</v>
      </c>
      <c r="G437" s="9" t="s">
        <v>46</v>
      </c>
      <c r="H437" s="16">
        <v>2</v>
      </c>
      <c r="I437" s="17">
        <v>850</v>
      </c>
      <c r="J437" s="18">
        <v>0.05</v>
      </c>
      <c r="K437" s="17">
        <v>1615</v>
      </c>
      <c r="L437" s="17">
        <v>1040</v>
      </c>
      <c r="M437" s="17">
        <v>575</v>
      </c>
      <c r="N437" s="18">
        <v>0.35599999999999998</v>
      </c>
    </row>
    <row r="438" spans="1:14" ht="14.5" x14ac:dyDescent="0.35">
      <c r="A438" s="9" t="s">
        <v>676</v>
      </c>
      <c r="B438" s="15">
        <v>45974</v>
      </c>
      <c r="C438" s="9" t="s">
        <v>179</v>
      </c>
      <c r="D438" s="9" t="s">
        <v>22</v>
      </c>
      <c r="E438" s="9" t="s">
        <v>23</v>
      </c>
      <c r="F438" s="9" t="s">
        <v>30</v>
      </c>
      <c r="G438" s="9" t="s">
        <v>53</v>
      </c>
      <c r="H438" s="16">
        <v>8</v>
      </c>
      <c r="I438" s="17">
        <v>65</v>
      </c>
      <c r="J438" s="18">
        <v>0.1</v>
      </c>
      <c r="K438" s="17">
        <v>468</v>
      </c>
      <c r="L438" s="17">
        <v>280</v>
      </c>
      <c r="M438" s="17">
        <v>188</v>
      </c>
      <c r="N438" s="18">
        <v>0.4017</v>
      </c>
    </row>
    <row r="439" spans="1:14" ht="14.5" x14ac:dyDescent="0.35">
      <c r="A439" s="9" t="s">
        <v>677</v>
      </c>
      <c r="B439" s="15">
        <v>45974</v>
      </c>
      <c r="C439" s="9" t="s">
        <v>89</v>
      </c>
      <c r="D439" s="9" t="s">
        <v>52</v>
      </c>
      <c r="E439" s="9" t="s">
        <v>23</v>
      </c>
      <c r="F439" s="9" t="s">
        <v>18</v>
      </c>
      <c r="G439" s="9" t="s">
        <v>25</v>
      </c>
      <c r="H439" s="16">
        <v>3</v>
      </c>
      <c r="I439" s="17">
        <v>35</v>
      </c>
      <c r="J439" s="18">
        <v>0.02</v>
      </c>
      <c r="K439" s="17">
        <v>102.9</v>
      </c>
      <c r="L439" s="17">
        <v>54</v>
      </c>
      <c r="M439" s="17">
        <v>48.9</v>
      </c>
      <c r="N439" s="18">
        <v>0.47520000000000001</v>
      </c>
    </row>
    <row r="440" spans="1:14" ht="14.5" x14ac:dyDescent="0.35">
      <c r="A440" s="9" t="s">
        <v>678</v>
      </c>
      <c r="B440" s="15">
        <v>45975</v>
      </c>
      <c r="C440" s="9" t="s">
        <v>519</v>
      </c>
      <c r="D440" s="9" t="s">
        <v>33</v>
      </c>
      <c r="E440" s="9" t="s">
        <v>34</v>
      </c>
      <c r="F440" s="9" t="s">
        <v>24</v>
      </c>
      <c r="G440" s="9" t="s">
        <v>35</v>
      </c>
      <c r="H440" s="16">
        <v>9</v>
      </c>
      <c r="I440" s="17">
        <v>320</v>
      </c>
      <c r="J440" s="18">
        <v>0.05</v>
      </c>
      <c r="K440" s="17">
        <v>2736</v>
      </c>
      <c r="L440" s="17">
        <v>1755</v>
      </c>
      <c r="M440" s="17">
        <v>981</v>
      </c>
      <c r="N440" s="18">
        <v>0.35859999999999997</v>
      </c>
    </row>
    <row r="441" spans="1:14" ht="14.5" x14ac:dyDescent="0.35">
      <c r="A441" s="9" t="s">
        <v>679</v>
      </c>
      <c r="B441" s="15">
        <v>45976</v>
      </c>
      <c r="C441" s="9" t="s">
        <v>215</v>
      </c>
      <c r="D441" s="9" t="s">
        <v>28</v>
      </c>
      <c r="E441" s="9" t="s">
        <v>29</v>
      </c>
      <c r="F441" s="9" t="s">
        <v>38</v>
      </c>
      <c r="G441" s="9" t="s">
        <v>49</v>
      </c>
      <c r="H441" s="16">
        <v>8</v>
      </c>
      <c r="I441" s="17">
        <v>850</v>
      </c>
      <c r="J441" s="18">
        <v>0</v>
      </c>
      <c r="K441" s="17">
        <v>6800</v>
      </c>
      <c r="L441" s="17">
        <v>4160</v>
      </c>
      <c r="M441" s="17">
        <v>2640</v>
      </c>
      <c r="N441" s="18">
        <v>0.38819999999999999</v>
      </c>
    </row>
    <row r="442" spans="1:14" ht="14.5" x14ac:dyDescent="0.35">
      <c r="A442" s="9" t="s">
        <v>680</v>
      </c>
      <c r="B442" s="15">
        <v>45978</v>
      </c>
      <c r="C442" s="9" t="s">
        <v>681</v>
      </c>
      <c r="D442" s="9" t="s">
        <v>28</v>
      </c>
      <c r="E442" s="9" t="s">
        <v>29</v>
      </c>
      <c r="F442" s="9" t="s">
        <v>18</v>
      </c>
      <c r="G442" s="9" t="s">
        <v>19</v>
      </c>
      <c r="H442" s="16">
        <v>6</v>
      </c>
      <c r="I442" s="17">
        <v>850</v>
      </c>
      <c r="J442" s="18">
        <v>0.05</v>
      </c>
      <c r="K442" s="17">
        <v>4845</v>
      </c>
      <c r="L442" s="17">
        <v>3120</v>
      </c>
      <c r="M442" s="17">
        <v>1725</v>
      </c>
      <c r="N442" s="18">
        <v>0.35599999999999998</v>
      </c>
    </row>
    <row r="443" spans="1:14" ht="14.5" x14ac:dyDescent="0.35">
      <c r="A443" s="9" t="s">
        <v>682</v>
      </c>
      <c r="B443" s="15">
        <v>45978</v>
      </c>
      <c r="C443" s="9" t="s">
        <v>566</v>
      </c>
      <c r="D443" s="9" t="s">
        <v>43</v>
      </c>
      <c r="E443" s="9" t="s">
        <v>23</v>
      </c>
      <c r="F443" s="9" t="s">
        <v>24</v>
      </c>
      <c r="G443" s="9" t="s">
        <v>25</v>
      </c>
      <c r="H443" s="16">
        <v>2</v>
      </c>
      <c r="I443" s="17">
        <v>75</v>
      </c>
      <c r="J443" s="18">
        <v>0</v>
      </c>
      <c r="K443" s="17">
        <v>150</v>
      </c>
      <c r="L443" s="17">
        <v>80</v>
      </c>
      <c r="M443" s="17">
        <v>70</v>
      </c>
      <c r="N443" s="18">
        <v>0.4667</v>
      </c>
    </row>
    <row r="444" spans="1:14" ht="14.5" x14ac:dyDescent="0.35">
      <c r="A444" s="9" t="s">
        <v>683</v>
      </c>
      <c r="B444" s="15">
        <v>45979</v>
      </c>
      <c r="C444" s="9" t="s">
        <v>221</v>
      </c>
      <c r="D444" s="9" t="s">
        <v>52</v>
      </c>
      <c r="E444" s="9" t="s">
        <v>23</v>
      </c>
      <c r="F444" s="9" t="s">
        <v>38</v>
      </c>
      <c r="G444" s="9" t="s">
        <v>19</v>
      </c>
      <c r="H444" s="16">
        <v>4</v>
      </c>
      <c r="I444" s="17">
        <v>35</v>
      </c>
      <c r="J444" s="18">
        <v>0.02</v>
      </c>
      <c r="K444" s="17">
        <v>137.19999999999999</v>
      </c>
      <c r="L444" s="17">
        <v>72</v>
      </c>
      <c r="M444" s="17">
        <v>65.2</v>
      </c>
      <c r="N444" s="18">
        <v>0.47520000000000001</v>
      </c>
    </row>
    <row r="445" spans="1:14" ht="14.5" x14ac:dyDescent="0.35">
      <c r="A445" s="9" t="s">
        <v>684</v>
      </c>
      <c r="B445" s="15">
        <v>45980</v>
      </c>
      <c r="C445" s="9" t="s">
        <v>685</v>
      </c>
      <c r="D445" s="9" t="s">
        <v>22</v>
      </c>
      <c r="E445" s="9" t="s">
        <v>23</v>
      </c>
      <c r="F445" s="9" t="s">
        <v>30</v>
      </c>
      <c r="G445" s="9" t="s">
        <v>53</v>
      </c>
      <c r="H445" s="16">
        <v>2</v>
      </c>
      <c r="I445" s="17">
        <v>65</v>
      </c>
      <c r="J445" s="18">
        <v>0.02</v>
      </c>
      <c r="K445" s="17">
        <v>127.4</v>
      </c>
      <c r="L445" s="17">
        <v>70</v>
      </c>
      <c r="M445" s="17">
        <v>57.4</v>
      </c>
      <c r="N445" s="18">
        <v>0.45050000000000001</v>
      </c>
    </row>
    <row r="446" spans="1:14" ht="14.5" x14ac:dyDescent="0.35">
      <c r="A446" s="9" t="s">
        <v>686</v>
      </c>
      <c r="B446" s="15">
        <v>45980</v>
      </c>
      <c r="C446" s="9" t="s">
        <v>687</v>
      </c>
      <c r="D446" s="9" t="s">
        <v>16</v>
      </c>
      <c r="E446" s="9" t="s">
        <v>17</v>
      </c>
      <c r="F446" s="9" t="s">
        <v>24</v>
      </c>
      <c r="G446" s="9" t="s">
        <v>46</v>
      </c>
      <c r="H446" s="16">
        <v>1</v>
      </c>
      <c r="I446" s="17">
        <v>210</v>
      </c>
      <c r="J446" s="18">
        <v>0.05</v>
      </c>
      <c r="K446" s="17">
        <v>199.5</v>
      </c>
      <c r="L446" s="17">
        <v>125</v>
      </c>
      <c r="M446" s="17">
        <v>74.5</v>
      </c>
      <c r="N446" s="18">
        <v>0.37340000000000001</v>
      </c>
    </row>
    <row r="447" spans="1:14" ht="14.5" x14ac:dyDescent="0.35">
      <c r="A447" s="9" t="s">
        <v>688</v>
      </c>
      <c r="B447" s="15">
        <v>45980</v>
      </c>
      <c r="C447" s="9" t="s">
        <v>169</v>
      </c>
      <c r="D447" s="9" t="s">
        <v>28</v>
      </c>
      <c r="E447" s="9" t="s">
        <v>29</v>
      </c>
      <c r="F447" s="9" t="s">
        <v>18</v>
      </c>
      <c r="G447" s="9" t="s">
        <v>35</v>
      </c>
      <c r="H447" s="16">
        <v>7</v>
      </c>
      <c r="I447" s="17">
        <v>850</v>
      </c>
      <c r="J447" s="18">
        <v>0.1</v>
      </c>
      <c r="K447" s="17">
        <v>5355</v>
      </c>
      <c r="L447" s="17">
        <v>3640</v>
      </c>
      <c r="M447" s="17">
        <v>1715</v>
      </c>
      <c r="N447" s="18">
        <v>0.32029999999999997</v>
      </c>
    </row>
    <row r="448" spans="1:14" ht="14.5" x14ac:dyDescent="0.35">
      <c r="A448" s="9" t="s">
        <v>689</v>
      </c>
      <c r="B448" s="15">
        <v>45982</v>
      </c>
      <c r="C448" s="9" t="s">
        <v>690</v>
      </c>
      <c r="D448" s="9" t="s">
        <v>43</v>
      </c>
      <c r="E448" s="9" t="s">
        <v>23</v>
      </c>
      <c r="F448" s="9" t="s">
        <v>18</v>
      </c>
      <c r="G448" s="9" t="s">
        <v>46</v>
      </c>
      <c r="H448" s="16">
        <v>2</v>
      </c>
      <c r="I448" s="17">
        <v>75</v>
      </c>
      <c r="J448" s="18">
        <v>0</v>
      </c>
      <c r="K448" s="17">
        <v>150</v>
      </c>
      <c r="L448" s="17">
        <v>80</v>
      </c>
      <c r="M448" s="17">
        <v>70</v>
      </c>
      <c r="N448" s="18">
        <v>0.4667</v>
      </c>
    </row>
    <row r="449" spans="1:14" ht="14.5" x14ac:dyDescent="0.35">
      <c r="A449" s="9" t="s">
        <v>691</v>
      </c>
      <c r="B449" s="15">
        <v>45982</v>
      </c>
      <c r="C449" s="9" t="s">
        <v>615</v>
      </c>
      <c r="D449" s="9" t="s">
        <v>43</v>
      </c>
      <c r="E449" s="9" t="s">
        <v>23</v>
      </c>
      <c r="F449" s="9" t="s">
        <v>24</v>
      </c>
      <c r="G449" s="9" t="s">
        <v>53</v>
      </c>
      <c r="H449" s="16">
        <v>10</v>
      </c>
      <c r="I449" s="17">
        <v>75</v>
      </c>
      <c r="J449" s="18">
        <v>0.05</v>
      </c>
      <c r="K449" s="17">
        <v>712.5</v>
      </c>
      <c r="L449" s="17">
        <v>400</v>
      </c>
      <c r="M449" s="17">
        <v>312.5</v>
      </c>
      <c r="N449" s="18">
        <v>0.43859999999999999</v>
      </c>
    </row>
    <row r="450" spans="1:14" ht="14.5" x14ac:dyDescent="0.35">
      <c r="A450" s="9" t="s">
        <v>692</v>
      </c>
      <c r="B450" s="15">
        <v>45983</v>
      </c>
      <c r="C450" s="9" t="s">
        <v>693</v>
      </c>
      <c r="D450" s="9" t="s">
        <v>16</v>
      </c>
      <c r="E450" s="9" t="s">
        <v>17</v>
      </c>
      <c r="F450" s="9" t="s">
        <v>18</v>
      </c>
      <c r="G450" s="9" t="s">
        <v>53</v>
      </c>
      <c r="H450" s="16">
        <v>1</v>
      </c>
      <c r="I450" s="17">
        <v>210</v>
      </c>
      <c r="J450" s="18">
        <v>0</v>
      </c>
      <c r="K450" s="17">
        <v>210</v>
      </c>
      <c r="L450" s="17">
        <v>125</v>
      </c>
      <c r="M450" s="17">
        <v>85</v>
      </c>
      <c r="N450" s="18">
        <v>0.40479999999999999</v>
      </c>
    </row>
    <row r="451" spans="1:14" ht="14.5" x14ac:dyDescent="0.35">
      <c r="A451" s="9" t="s">
        <v>694</v>
      </c>
      <c r="B451" s="15">
        <v>45984</v>
      </c>
      <c r="C451" s="9" t="s">
        <v>59</v>
      </c>
      <c r="D451" s="9" t="s">
        <v>28</v>
      </c>
      <c r="E451" s="9" t="s">
        <v>29</v>
      </c>
      <c r="F451" s="9" t="s">
        <v>30</v>
      </c>
      <c r="G451" s="9" t="s">
        <v>49</v>
      </c>
      <c r="H451" s="16">
        <v>5</v>
      </c>
      <c r="I451" s="17">
        <v>850</v>
      </c>
      <c r="J451" s="18">
        <v>0.05</v>
      </c>
      <c r="K451" s="17">
        <v>4037.5</v>
      </c>
      <c r="L451" s="17">
        <v>2600</v>
      </c>
      <c r="M451" s="17">
        <v>1437.5</v>
      </c>
      <c r="N451" s="18">
        <v>0.35599999999999998</v>
      </c>
    </row>
    <row r="452" spans="1:14" ht="14.5" x14ac:dyDescent="0.35">
      <c r="A452" s="9" t="s">
        <v>695</v>
      </c>
      <c r="B452" s="15">
        <v>45987</v>
      </c>
      <c r="C452" s="9" t="s">
        <v>283</v>
      </c>
      <c r="D452" s="9" t="s">
        <v>16</v>
      </c>
      <c r="E452" s="9" t="s">
        <v>17</v>
      </c>
      <c r="F452" s="9" t="s">
        <v>24</v>
      </c>
      <c r="G452" s="9" t="s">
        <v>19</v>
      </c>
      <c r="H452" s="16">
        <v>3</v>
      </c>
      <c r="I452" s="17">
        <v>210</v>
      </c>
      <c r="J452" s="18">
        <v>0</v>
      </c>
      <c r="K452" s="17">
        <v>630</v>
      </c>
      <c r="L452" s="17">
        <v>375</v>
      </c>
      <c r="M452" s="17">
        <v>255</v>
      </c>
      <c r="N452" s="18">
        <v>0.40479999999999999</v>
      </c>
    </row>
    <row r="453" spans="1:14" ht="14.5" x14ac:dyDescent="0.35">
      <c r="A453" s="9" t="s">
        <v>696</v>
      </c>
      <c r="B453" s="15">
        <v>45987</v>
      </c>
      <c r="C453" s="9" t="s">
        <v>697</v>
      </c>
      <c r="D453" s="9" t="s">
        <v>60</v>
      </c>
      <c r="E453" s="9" t="s">
        <v>34</v>
      </c>
      <c r="F453" s="9" t="s">
        <v>18</v>
      </c>
      <c r="G453" s="9" t="s">
        <v>49</v>
      </c>
      <c r="H453" s="16">
        <v>3</v>
      </c>
      <c r="I453" s="17">
        <v>240</v>
      </c>
      <c r="J453" s="18">
        <v>0</v>
      </c>
      <c r="K453" s="17">
        <v>720</v>
      </c>
      <c r="L453" s="17">
        <v>435</v>
      </c>
      <c r="M453" s="17">
        <v>285</v>
      </c>
      <c r="N453" s="18">
        <v>0.39579999999999999</v>
      </c>
    </row>
    <row r="454" spans="1:14" ht="14.5" x14ac:dyDescent="0.35">
      <c r="A454" s="9" t="s">
        <v>698</v>
      </c>
      <c r="B454" s="15">
        <v>45987</v>
      </c>
      <c r="C454" s="9" t="s">
        <v>602</v>
      </c>
      <c r="D454" s="9" t="s">
        <v>52</v>
      </c>
      <c r="E454" s="9" t="s">
        <v>23</v>
      </c>
      <c r="F454" s="9" t="s">
        <v>38</v>
      </c>
      <c r="G454" s="9" t="s">
        <v>35</v>
      </c>
      <c r="H454" s="16">
        <v>2</v>
      </c>
      <c r="I454" s="17">
        <v>35</v>
      </c>
      <c r="J454" s="18">
        <v>0.02</v>
      </c>
      <c r="K454" s="17">
        <v>68.599999999999994</v>
      </c>
      <c r="L454" s="17">
        <v>36</v>
      </c>
      <c r="M454" s="17">
        <v>32.6</v>
      </c>
      <c r="N454" s="18">
        <v>0.47520000000000001</v>
      </c>
    </row>
    <row r="455" spans="1:14" ht="14.5" x14ac:dyDescent="0.35">
      <c r="A455" s="9" t="s">
        <v>699</v>
      </c>
      <c r="B455" s="15">
        <v>45988</v>
      </c>
      <c r="C455" s="9" t="s">
        <v>121</v>
      </c>
      <c r="D455" s="9" t="s">
        <v>28</v>
      </c>
      <c r="E455" s="9" t="s">
        <v>29</v>
      </c>
      <c r="F455" s="9" t="s">
        <v>24</v>
      </c>
      <c r="G455" s="9" t="s">
        <v>46</v>
      </c>
      <c r="H455" s="16">
        <v>6</v>
      </c>
      <c r="I455" s="17">
        <v>850</v>
      </c>
      <c r="J455" s="18">
        <v>0.05</v>
      </c>
      <c r="K455" s="17">
        <v>4845</v>
      </c>
      <c r="L455" s="17">
        <v>3120</v>
      </c>
      <c r="M455" s="17">
        <v>1725</v>
      </c>
      <c r="N455" s="18">
        <v>0.35599999999999998</v>
      </c>
    </row>
    <row r="456" spans="1:14" ht="14.5" x14ac:dyDescent="0.35">
      <c r="A456" s="9" t="s">
        <v>700</v>
      </c>
      <c r="B456" s="15">
        <v>45992</v>
      </c>
      <c r="C456" s="9" t="s">
        <v>121</v>
      </c>
      <c r="D456" s="9" t="s">
        <v>33</v>
      </c>
      <c r="E456" s="9" t="s">
        <v>34</v>
      </c>
      <c r="F456" s="9" t="s">
        <v>24</v>
      </c>
      <c r="G456" s="9" t="s">
        <v>19</v>
      </c>
      <c r="H456" s="16">
        <v>6</v>
      </c>
      <c r="I456" s="17">
        <v>320</v>
      </c>
      <c r="J456" s="18">
        <v>0</v>
      </c>
      <c r="K456" s="17">
        <v>1920</v>
      </c>
      <c r="L456" s="17">
        <v>1170</v>
      </c>
      <c r="M456" s="17">
        <v>750</v>
      </c>
      <c r="N456" s="18">
        <v>0.3906</v>
      </c>
    </row>
    <row r="457" spans="1:14" ht="14.5" x14ac:dyDescent="0.35">
      <c r="A457" s="9" t="s">
        <v>701</v>
      </c>
      <c r="B457" s="15">
        <v>45992</v>
      </c>
      <c r="C457" s="9" t="s">
        <v>187</v>
      </c>
      <c r="D457" s="9" t="s">
        <v>60</v>
      </c>
      <c r="E457" s="9" t="s">
        <v>34</v>
      </c>
      <c r="F457" s="9" t="s">
        <v>38</v>
      </c>
      <c r="G457" s="9" t="s">
        <v>53</v>
      </c>
      <c r="H457" s="16">
        <v>8</v>
      </c>
      <c r="I457" s="17">
        <v>240</v>
      </c>
      <c r="J457" s="18">
        <v>0.05</v>
      </c>
      <c r="K457" s="17">
        <v>1824</v>
      </c>
      <c r="L457" s="17">
        <v>1160</v>
      </c>
      <c r="M457" s="17">
        <v>664</v>
      </c>
      <c r="N457" s="18">
        <v>0.36399999999999999</v>
      </c>
    </row>
    <row r="458" spans="1:14" ht="14.5" x14ac:dyDescent="0.35">
      <c r="A458" s="9" t="s">
        <v>702</v>
      </c>
      <c r="B458" s="15">
        <v>45993</v>
      </c>
      <c r="C458" s="9" t="s">
        <v>74</v>
      </c>
      <c r="D458" s="9" t="s">
        <v>22</v>
      </c>
      <c r="E458" s="9" t="s">
        <v>23</v>
      </c>
      <c r="F458" s="9" t="s">
        <v>38</v>
      </c>
      <c r="G458" s="9" t="s">
        <v>46</v>
      </c>
      <c r="H458" s="16">
        <v>9</v>
      </c>
      <c r="I458" s="17">
        <v>65</v>
      </c>
      <c r="J458" s="18">
        <v>0</v>
      </c>
      <c r="K458" s="17">
        <v>585</v>
      </c>
      <c r="L458" s="17">
        <v>315</v>
      </c>
      <c r="M458" s="17">
        <v>270</v>
      </c>
      <c r="N458" s="18">
        <v>0.46150000000000002</v>
      </c>
    </row>
    <row r="459" spans="1:14" ht="14.5" x14ac:dyDescent="0.35">
      <c r="A459" s="9" t="s">
        <v>703</v>
      </c>
      <c r="B459" s="15">
        <v>45993</v>
      </c>
      <c r="C459" s="9" t="s">
        <v>471</v>
      </c>
      <c r="D459" s="9" t="s">
        <v>52</v>
      </c>
      <c r="E459" s="9" t="s">
        <v>23</v>
      </c>
      <c r="F459" s="9" t="s">
        <v>30</v>
      </c>
      <c r="G459" s="9" t="s">
        <v>25</v>
      </c>
      <c r="H459" s="16">
        <v>3</v>
      </c>
      <c r="I459" s="17">
        <v>35</v>
      </c>
      <c r="J459" s="18">
        <v>0.1</v>
      </c>
      <c r="K459" s="17">
        <v>94.5</v>
      </c>
      <c r="L459" s="17">
        <v>54</v>
      </c>
      <c r="M459" s="17">
        <v>40.5</v>
      </c>
      <c r="N459" s="18">
        <v>0.42859999999999998</v>
      </c>
    </row>
    <row r="460" spans="1:14" ht="14.5" x14ac:dyDescent="0.35">
      <c r="A460" s="9" t="s">
        <v>704</v>
      </c>
      <c r="B460" s="15">
        <v>45994</v>
      </c>
      <c r="C460" s="9" t="s">
        <v>705</v>
      </c>
      <c r="D460" s="9" t="s">
        <v>22</v>
      </c>
      <c r="E460" s="9" t="s">
        <v>23</v>
      </c>
      <c r="F460" s="9" t="s">
        <v>30</v>
      </c>
      <c r="G460" s="9" t="s">
        <v>53</v>
      </c>
      <c r="H460" s="16">
        <v>3</v>
      </c>
      <c r="I460" s="17">
        <v>65</v>
      </c>
      <c r="J460" s="18">
        <v>0.05</v>
      </c>
      <c r="K460" s="17">
        <v>185.25</v>
      </c>
      <c r="L460" s="17">
        <v>105</v>
      </c>
      <c r="M460" s="17">
        <v>80.25</v>
      </c>
      <c r="N460" s="18">
        <v>0.43319999999999997</v>
      </c>
    </row>
    <row r="461" spans="1:14" ht="14.5" x14ac:dyDescent="0.35">
      <c r="A461" s="9" t="s">
        <v>706</v>
      </c>
      <c r="B461" s="15">
        <v>45995</v>
      </c>
      <c r="C461" s="9" t="s">
        <v>398</v>
      </c>
      <c r="D461" s="9" t="s">
        <v>33</v>
      </c>
      <c r="E461" s="9" t="s">
        <v>34</v>
      </c>
      <c r="F461" s="9" t="s">
        <v>24</v>
      </c>
      <c r="G461" s="9" t="s">
        <v>53</v>
      </c>
      <c r="H461" s="16">
        <v>6</v>
      </c>
      <c r="I461" s="17">
        <v>320</v>
      </c>
      <c r="J461" s="18">
        <v>0.15</v>
      </c>
      <c r="K461" s="17">
        <v>1632</v>
      </c>
      <c r="L461" s="17">
        <v>1170</v>
      </c>
      <c r="M461" s="17">
        <v>462</v>
      </c>
      <c r="N461" s="18">
        <v>0.28310000000000002</v>
      </c>
    </row>
    <row r="462" spans="1:14" ht="14.5" x14ac:dyDescent="0.35">
      <c r="A462" s="9" t="s">
        <v>707</v>
      </c>
      <c r="B462" s="15">
        <v>45996</v>
      </c>
      <c r="C462" s="9" t="s">
        <v>133</v>
      </c>
      <c r="D462" s="9" t="s">
        <v>33</v>
      </c>
      <c r="E462" s="9" t="s">
        <v>34</v>
      </c>
      <c r="F462" s="9" t="s">
        <v>24</v>
      </c>
      <c r="G462" s="9" t="s">
        <v>19</v>
      </c>
      <c r="H462" s="16">
        <v>8</v>
      </c>
      <c r="I462" s="17">
        <v>320</v>
      </c>
      <c r="J462" s="18">
        <v>0</v>
      </c>
      <c r="K462" s="17">
        <v>2560</v>
      </c>
      <c r="L462" s="17">
        <v>1560</v>
      </c>
      <c r="M462" s="17">
        <v>1000</v>
      </c>
      <c r="N462" s="18">
        <v>0.3906</v>
      </c>
    </row>
    <row r="463" spans="1:14" ht="14.5" x14ac:dyDescent="0.35">
      <c r="A463" s="9" t="s">
        <v>708</v>
      </c>
      <c r="B463" s="15">
        <v>45996</v>
      </c>
      <c r="C463" s="9" t="s">
        <v>709</v>
      </c>
      <c r="D463" s="9" t="s">
        <v>33</v>
      </c>
      <c r="E463" s="9" t="s">
        <v>34</v>
      </c>
      <c r="F463" s="9" t="s">
        <v>38</v>
      </c>
      <c r="G463" s="9" t="s">
        <v>25</v>
      </c>
      <c r="H463" s="16">
        <v>8</v>
      </c>
      <c r="I463" s="17">
        <v>320</v>
      </c>
      <c r="J463" s="18">
        <v>0.15</v>
      </c>
      <c r="K463" s="17">
        <v>2176</v>
      </c>
      <c r="L463" s="17">
        <v>1560</v>
      </c>
      <c r="M463" s="17">
        <v>616</v>
      </c>
      <c r="N463" s="18">
        <v>0.28310000000000002</v>
      </c>
    </row>
    <row r="464" spans="1:14" ht="14.5" x14ac:dyDescent="0.35">
      <c r="A464" s="9" t="s">
        <v>710</v>
      </c>
      <c r="B464" s="15">
        <v>45997</v>
      </c>
      <c r="C464" s="9" t="s">
        <v>711</v>
      </c>
      <c r="D464" s="9" t="s">
        <v>142</v>
      </c>
      <c r="E464" s="9" t="s">
        <v>29</v>
      </c>
      <c r="F464" s="9" t="s">
        <v>30</v>
      </c>
      <c r="G464" s="9" t="s">
        <v>49</v>
      </c>
      <c r="H464" s="16">
        <v>7</v>
      </c>
      <c r="I464" s="17">
        <v>280</v>
      </c>
      <c r="J464" s="18">
        <v>0</v>
      </c>
      <c r="K464" s="17">
        <v>1960</v>
      </c>
      <c r="L464" s="17">
        <v>1190</v>
      </c>
      <c r="M464" s="17">
        <v>770</v>
      </c>
      <c r="N464" s="18">
        <v>0.39290000000000003</v>
      </c>
    </row>
    <row r="465" spans="1:14" ht="14.5" x14ac:dyDescent="0.35">
      <c r="A465" s="9" t="s">
        <v>712</v>
      </c>
      <c r="B465" s="15">
        <v>45997</v>
      </c>
      <c r="C465" s="9" t="s">
        <v>149</v>
      </c>
      <c r="D465" s="9" t="s">
        <v>43</v>
      </c>
      <c r="E465" s="9" t="s">
        <v>23</v>
      </c>
      <c r="F465" s="9" t="s">
        <v>30</v>
      </c>
      <c r="G465" s="9" t="s">
        <v>19</v>
      </c>
      <c r="H465" s="16">
        <v>3</v>
      </c>
      <c r="I465" s="17">
        <v>75</v>
      </c>
      <c r="J465" s="18">
        <v>0.05</v>
      </c>
      <c r="K465" s="17">
        <v>213.75</v>
      </c>
      <c r="L465" s="17">
        <v>120</v>
      </c>
      <c r="M465" s="17">
        <v>93.75</v>
      </c>
      <c r="N465" s="18">
        <v>0.43859999999999999</v>
      </c>
    </row>
    <row r="466" spans="1:14" ht="14.5" x14ac:dyDescent="0.35">
      <c r="A466" s="9" t="s">
        <v>713</v>
      </c>
      <c r="B466" s="15">
        <v>45998</v>
      </c>
      <c r="C466" s="9" t="s">
        <v>144</v>
      </c>
      <c r="D466" s="9" t="s">
        <v>52</v>
      </c>
      <c r="E466" s="9" t="s">
        <v>23</v>
      </c>
      <c r="F466" s="9" t="s">
        <v>38</v>
      </c>
      <c r="G466" s="9" t="s">
        <v>25</v>
      </c>
      <c r="H466" s="16">
        <v>10</v>
      </c>
      <c r="I466" s="17">
        <v>35</v>
      </c>
      <c r="J466" s="18">
        <v>0.05</v>
      </c>
      <c r="K466" s="17">
        <v>332.5</v>
      </c>
      <c r="L466" s="17">
        <v>180</v>
      </c>
      <c r="M466" s="17">
        <v>152.5</v>
      </c>
      <c r="N466" s="18">
        <v>0.45860000000000001</v>
      </c>
    </row>
    <row r="467" spans="1:14" ht="14.5" x14ac:dyDescent="0.35">
      <c r="A467" s="9" t="s">
        <v>714</v>
      </c>
      <c r="B467" s="15">
        <v>45998</v>
      </c>
      <c r="C467" s="9" t="s">
        <v>251</v>
      </c>
      <c r="D467" s="9" t="s">
        <v>60</v>
      </c>
      <c r="E467" s="9" t="s">
        <v>34</v>
      </c>
      <c r="F467" s="9" t="s">
        <v>18</v>
      </c>
      <c r="G467" s="9" t="s">
        <v>35</v>
      </c>
      <c r="H467" s="16">
        <v>10</v>
      </c>
      <c r="I467" s="17">
        <v>240</v>
      </c>
      <c r="J467" s="18">
        <v>0.05</v>
      </c>
      <c r="K467" s="17">
        <v>2280</v>
      </c>
      <c r="L467" s="17">
        <v>1450</v>
      </c>
      <c r="M467" s="17">
        <v>830</v>
      </c>
      <c r="N467" s="18">
        <v>0.36399999999999999</v>
      </c>
    </row>
    <row r="468" spans="1:14" ht="14.5" x14ac:dyDescent="0.35">
      <c r="A468" s="9" t="s">
        <v>715</v>
      </c>
      <c r="B468" s="15">
        <v>45998</v>
      </c>
      <c r="C468" s="9" t="s">
        <v>104</v>
      </c>
      <c r="D468" s="9" t="s">
        <v>43</v>
      </c>
      <c r="E468" s="9" t="s">
        <v>23</v>
      </c>
      <c r="F468" s="9" t="s">
        <v>30</v>
      </c>
      <c r="G468" s="9" t="s">
        <v>35</v>
      </c>
      <c r="H468" s="16">
        <v>4</v>
      </c>
      <c r="I468" s="17">
        <v>75</v>
      </c>
      <c r="J468" s="18">
        <v>0.1</v>
      </c>
      <c r="K468" s="17">
        <v>270</v>
      </c>
      <c r="L468" s="17">
        <v>160</v>
      </c>
      <c r="M468" s="17">
        <v>110</v>
      </c>
      <c r="N468" s="18">
        <v>0.40739999999999998</v>
      </c>
    </row>
    <row r="469" spans="1:14" ht="14.5" x14ac:dyDescent="0.35">
      <c r="A469" s="9" t="s">
        <v>716</v>
      </c>
      <c r="B469" s="15">
        <v>45999</v>
      </c>
      <c r="C469" s="9" t="s">
        <v>717</v>
      </c>
      <c r="D469" s="9" t="s">
        <v>43</v>
      </c>
      <c r="E469" s="9" t="s">
        <v>23</v>
      </c>
      <c r="F469" s="9" t="s">
        <v>30</v>
      </c>
      <c r="G469" s="9" t="s">
        <v>53</v>
      </c>
      <c r="H469" s="16">
        <v>4</v>
      </c>
      <c r="I469" s="17">
        <v>75</v>
      </c>
      <c r="J469" s="18">
        <v>0.02</v>
      </c>
      <c r="K469" s="17">
        <v>294</v>
      </c>
      <c r="L469" s="17">
        <v>160</v>
      </c>
      <c r="M469" s="17">
        <v>134</v>
      </c>
      <c r="N469" s="18">
        <v>0.45579999999999998</v>
      </c>
    </row>
    <row r="470" spans="1:14" ht="14.5" x14ac:dyDescent="0.35">
      <c r="A470" s="9" t="s">
        <v>718</v>
      </c>
      <c r="B470" s="15">
        <v>45999</v>
      </c>
      <c r="C470" s="9" t="s">
        <v>249</v>
      </c>
      <c r="D470" s="9" t="s">
        <v>16</v>
      </c>
      <c r="E470" s="9" t="s">
        <v>17</v>
      </c>
      <c r="F470" s="9" t="s">
        <v>38</v>
      </c>
      <c r="G470" s="9" t="s">
        <v>49</v>
      </c>
      <c r="H470" s="16">
        <v>9</v>
      </c>
      <c r="I470" s="17">
        <v>210</v>
      </c>
      <c r="J470" s="18">
        <v>0.02</v>
      </c>
      <c r="K470" s="17">
        <v>1852.2</v>
      </c>
      <c r="L470" s="17">
        <v>1125</v>
      </c>
      <c r="M470" s="17">
        <v>727.2</v>
      </c>
      <c r="N470" s="18">
        <v>0.3926</v>
      </c>
    </row>
    <row r="471" spans="1:14" ht="14.5" x14ac:dyDescent="0.35">
      <c r="A471" s="9" t="s">
        <v>719</v>
      </c>
      <c r="B471" s="15">
        <v>45999</v>
      </c>
      <c r="C471" s="9" t="s">
        <v>418</v>
      </c>
      <c r="D471" s="9" t="s">
        <v>28</v>
      </c>
      <c r="E471" s="9" t="s">
        <v>29</v>
      </c>
      <c r="F471" s="9" t="s">
        <v>18</v>
      </c>
      <c r="G471" s="9" t="s">
        <v>25</v>
      </c>
      <c r="H471" s="16">
        <v>8</v>
      </c>
      <c r="I471" s="17">
        <v>850</v>
      </c>
      <c r="J471" s="18">
        <v>0.1</v>
      </c>
      <c r="K471" s="17">
        <v>6120</v>
      </c>
      <c r="L471" s="17">
        <v>4160</v>
      </c>
      <c r="M471" s="17">
        <v>1960</v>
      </c>
      <c r="N471" s="18">
        <v>0.32029999999999997</v>
      </c>
    </row>
    <row r="472" spans="1:14" ht="14.5" x14ac:dyDescent="0.35">
      <c r="A472" s="9" t="s">
        <v>720</v>
      </c>
      <c r="B472" s="15">
        <v>45999</v>
      </c>
      <c r="C472" s="9" t="s">
        <v>181</v>
      </c>
      <c r="D472" s="9" t="s">
        <v>43</v>
      </c>
      <c r="E472" s="9" t="s">
        <v>23</v>
      </c>
      <c r="F472" s="9" t="s">
        <v>18</v>
      </c>
      <c r="G472" s="9" t="s">
        <v>25</v>
      </c>
      <c r="H472" s="16">
        <v>10</v>
      </c>
      <c r="I472" s="17">
        <v>75</v>
      </c>
      <c r="J472" s="18">
        <v>0.15</v>
      </c>
      <c r="K472" s="17">
        <v>637.5</v>
      </c>
      <c r="L472" s="17">
        <v>400</v>
      </c>
      <c r="M472" s="17">
        <v>237.5</v>
      </c>
      <c r="N472" s="18">
        <v>0.3725</v>
      </c>
    </row>
    <row r="473" spans="1:14" ht="14.5" x14ac:dyDescent="0.35">
      <c r="A473" s="9" t="s">
        <v>721</v>
      </c>
      <c r="B473" s="15">
        <v>45999</v>
      </c>
      <c r="C473" s="9" t="s">
        <v>451</v>
      </c>
      <c r="D473" s="9" t="s">
        <v>28</v>
      </c>
      <c r="E473" s="9" t="s">
        <v>29</v>
      </c>
      <c r="F473" s="9" t="s">
        <v>38</v>
      </c>
      <c r="G473" s="9" t="s">
        <v>19</v>
      </c>
      <c r="H473" s="16">
        <v>2</v>
      </c>
      <c r="I473" s="17">
        <v>850</v>
      </c>
      <c r="J473" s="18">
        <v>0</v>
      </c>
      <c r="K473" s="17">
        <v>1700</v>
      </c>
      <c r="L473" s="17">
        <v>1040</v>
      </c>
      <c r="M473" s="17">
        <v>660</v>
      </c>
      <c r="N473" s="18">
        <v>0.38819999999999999</v>
      </c>
    </row>
    <row r="474" spans="1:14" ht="14.5" x14ac:dyDescent="0.35">
      <c r="A474" s="9" t="s">
        <v>722</v>
      </c>
      <c r="B474" s="15">
        <v>45999</v>
      </c>
      <c r="C474" s="9" t="s">
        <v>86</v>
      </c>
      <c r="D474" s="9" t="s">
        <v>16</v>
      </c>
      <c r="E474" s="9" t="s">
        <v>17</v>
      </c>
      <c r="F474" s="9" t="s">
        <v>38</v>
      </c>
      <c r="G474" s="9" t="s">
        <v>46</v>
      </c>
      <c r="H474" s="16">
        <v>5</v>
      </c>
      <c r="I474" s="17">
        <v>210</v>
      </c>
      <c r="J474" s="18">
        <v>0.1</v>
      </c>
      <c r="K474" s="17">
        <v>945</v>
      </c>
      <c r="L474" s="17">
        <v>625</v>
      </c>
      <c r="M474" s="17">
        <v>320</v>
      </c>
      <c r="N474" s="18">
        <v>0.33860000000000001</v>
      </c>
    </row>
    <row r="475" spans="1:14" ht="14.5" x14ac:dyDescent="0.35">
      <c r="A475" s="9" t="s">
        <v>723</v>
      </c>
      <c r="B475" s="15">
        <v>46003</v>
      </c>
      <c r="C475" s="9" t="s">
        <v>215</v>
      </c>
      <c r="D475" s="9" t="s">
        <v>52</v>
      </c>
      <c r="E475" s="9" t="s">
        <v>23</v>
      </c>
      <c r="F475" s="9" t="s">
        <v>18</v>
      </c>
      <c r="G475" s="9" t="s">
        <v>46</v>
      </c>
      <c r="H475" s="16">
        <v>2</v>
      </c>
      <c r="I475" s="17">
        <v>35</v>
      </c>
      <c r="J475" s="18">
        <v>0</v>
      </c>
      <c r="K475" s="17">
        <v>70</v>
      </c>
      <c r="L475" s="17">
        <v>36</v>
      </c>
      <c r="M475" s="17">
        <v>34</v>
      </c>
      <c r="N475" s="18">
        <v>0.48570000000000002</v>
      </c>
    </row>
    <row r="476" spans="1:14" ht="14.5" x14ac:dyDescent="0.35">
      <c r="A476" s="9" t="s">
        <v>724</v>
      </c>
      <c r="B476" s="15">
        <v>46003</v>
      </c>
      <c r="C476" s="9" t="s">
        <v>456</v>
      </c>
      <c r="D476" s="9" t="s">
        <v>43</v>
      </c>
      <c r="E476" s="9" t="s">
        <v>23</v>
      </c>
      <c r="F476" s="9" t="s">
        <v>24</v>
      </c>
      <c r="G476" s="9" t="s">
        <v>35</v>
      </c>
      <c r="H476" s="16">
        <v>10</v>
      </c>
      <c r="I476" s="17">
        <v>75</v>
      </c>
      <c r="J476" s="18">
        <v>0.05</v>
      </c>
      <c r="K476" s="17">
        <v>712.5</v>
      </c>
      <c r="L476" s="17">
        <v>400</v>
      </c>
      <c r="M476" s="17">
        <v>312.5</v>
      </c>
      <c r="N476" s="18">
        <v>0.43859999999999999</v>
      </c>
    </row>
    <row r="477" spans="1:14" ht="14.5" x14ac:dyDescent="0.35">
      <c r="A477" s="9" t="s">
        <v>725</v>
      </c>
      <c r="B477" s="15">
        <v>46004</v>
      </c>
      <c r="C477" s="9" t="s">
        <v>346</v>
      </c>
      <c r="D477" s="9" t="s">
        <v>33</v>
      </c>
      <c r="E477" s="9" t="s">
        <v>34</v>
      </c>
      <c r="F477" s="9" t="s">
        <v>18</v>
      </c>
      <c r="G477" s="9" t="s">
        <v>53</v>
      </c>
      <c r="H477" s="16">
        <v>9</v>
      </c>
      <c r="I477" s="17">
        <v>320</v>
      </c>
      <c r="J477" s="18">
        <v>0.05</v>
      </c>
      <c r="K477" s="17">
        <v>2736</v>
      </c>
      <c r="L477" s="17">
        <v>1755</v>
      </c>
      <c r="M477" s="17">
        <v>981</v>
      </c>
      <c r="N477" s="18">
        <v>0.35859999999999997</v>
      </c>
    </row>
    <row r="478" spans="1:14" ht="14.5" x14ac:dyDescent="0.35">
      <c r="A478" s="9" t="s">
        <v>726</v>
      </c>
      <c r="B478" s="15">
        <v>46005</v>
      </c>
      <c r="C478" s="9" t="s">
        <v>213</v>
      </c>
      <c r="D478" s="9" t="s">
        <v>33</v>
      </c>
      <c r="E478" s="9" t="s">
        <v>34</v>
      </c>
      <c r="F478" s="9" t="s">
        <v>38</v>
      </c>
      <c r="G478" s="9" t="s">
        <v>46</v>
      </c>
      <c r="H478" s="16">
        <v>4</v>
      </c>
      <c r="I478" s="17">
        <v>320</v>
      </c>
      <c r="J478" s="18">
        <v>0</v>
      </c>
      <c r="K478" s="17">
        <v>1280</v>
      </c>
      <c r="L478" s="17">
        <v>780</v>
      </c>
      <c r="M478" s="17">
        <v>500</v>
      </c>
      <c r="N478" s="18">
        <v>0.3906</v>
      </c>
    </row>
    <row r="479" spans="1:14" ht="14.5" x14ac:dyDescent="0.35">
      <c r="A479" s="9" t="s">
        <v>727</v>
      </c>
      <c r="B479" s="15">
        <v>46005</v>
      </c>
      <c r="C479" s="9" t="s">
        <v>244</v>
      </c>
      <c r="D479" s="9" t="s">
        <v>142</v>
      </c>
      <c r="E479" s="9" t="s">
        <v>29</v>
      </c>
      <c r="F479" s="9" t="s">
        <v>30</v>
      </c>
      <c r="G479" s="9" t="s">
        <v>19</v>
      </c>
      <c r="H479" s="16">
        <v>6</v>
      </c>
      <c r="I479" s="17">
        <v>280</v>
      </c>
      <c r="J479" s="18">
        <v>0</v>
      </c>
      <c r="K479" s="17">
        <v>1680</v>
      </c>
      <c r="L479" s="17">
        <v>1020</v>
      </c>
      <c r="M479" s="17">
        <v>660</v>
      </c>
      <c r="N479" s="18">
        <v>0.39290000000000003</v>
      </c>
    </row>
    <row r="480" spans="1:14" ht="14.5" x14ac:dyDescent="0.35">
      <c r="A480" s="9" t="s">
        <v>728</v>
      </c>
      <c r="B480" s="15">
        <v>46005</v>
      </c>
      <c r="C480" s="9" t="s">
        <v>426</v>
      </c>
      <c r="D480" s="9" t="s">
        <v>60</v>
      </c>
      <c r="E480" s="9" t="s">
        <v>34</v>
      </c>
      <c r="F480" s="9" t="s">
        <v>24</v>
      </c>
      <c r="G480" s="9" t="s">
        <v>19</v>
      </c>
      <c r="H480" s="16">
        <v>4</v>
      </c>
      <c r="I480" s="17">
        <v>240</v>
      </c>
      <c r="J480" s="18">
        <v>0.15</v>
      </c>
      <c r="K480" s="17">
        <v>816</v>
      </c>
      <c r="L480" s="17">
        <v>580</v>
      </c>
      <c r="M480" s="17">
        <v>236</v>
      </c>
      <c r="N480" s="18">
        <v>0.28920000000000001</v>
      </c>
    </row>
    <row r="481" spans="1:14" ht="14.5" x14ac:dyDescent="0.35">
      <c r="A481" s="9" t="s">
        <v>729</v>
      </c>
      <c r="B481" s="15">
        <v>46006</v>
      </c>
      <c r="C481" s="9" t="s">
        <v>615</v>
      </c>
      <c r="D481" s="9" t="s">
        <v>16</v>
      </c>
      <c r="E481" s="9" t="s">
        <v>17</v>
      </c>
      <c r="F481" s="9" t="s">
        <v>18</v>
      </c>
      <c r="G481" s="9" t="s">
        <v>35</v>
      </c>
      <c r="H481" s="16">
        <v>1</v>
      </c>
      <c r="I481" s="17">
        <v>210</v>
      </c>
      <c r="J481" s="18">
        <v>0.05</v>
      </c>
      <c r="K481" s="17">
        <v>199.5</v>
      </c>
      <c r="L481" s="17">
        <v>125</v>
      </c>
      <c r="M481" s="17">
        <v>74.5</v>
      </c>
      <c r="N481" s="18">
        <v>0.37340000000000001</v>
      </c>
    </row>
    <row r="482" spans="1:14" ht="14.5" x14ac:dyDescent="0.35">
      <c r="A482" s="9" t="s">
        <v>730</v>
      </c>
      <c r="B482" s="15">
        <v>46007</v>
      </c>
      <c r="C482" s="9" t="s">
        <v>490</v>
      </c>
      <c r="D482" s="9" t="s">
        <v>60</v>
      </c>
      <c r="E482" s="9" t="s">
        <v>34</v>
      </c>
      <c r="F482" s="9" t="s">
        <v>38</v>
      </c>
      <c r="G482" s="9" t="s">
        <v>19</v>
      </c>
      <c r="H482" s="16">
        <v>7</v>
      </c>
      <c r="I482" s="17">
        <v>240</v>
      </c>
      <c r="J482" s="18">
        <v>0</v>
      </c>
      <c r="K482" s="17">
        <v>1680</v>
      </c>
      <c r="L482" s="17">
        <v>1015</v>
      </c>
      <c r="M482" s="17">
        <v>665</v>
      </c>
      <c r="N482" s="18">
        <v>0.39579999999999999</v>
      </c>
    </row>
    <row r="483" spans="1:14" ht="14.5" x14ac:dyDescent="0.35">
      <c r="A483" s="9" t="s">
        <v>731</v>
      </c>
      <c r="B483" s="15">
        <v>46008</v>
      </c>
      <c r="C483" s="9" t="s">
        <v>548</v>
      </c>
      <c r="D483" s="9" t="s">
        <v>33</v>
      </c>
      <c r="E483" s="9" t="s">
        <v>34</v>
      </c>
      <c r="F483" s="9" t="s">
        <v>24</v>
      </c>
      <c r="G483" s="9" t="s">
        <v>46</v>
      </c>
      <c r="H483" s="16">
        <v>5</v>
      </c>
      <c r="I483" s="17">
        <v>320</v>
      </c>
      <c r="J483" s="18">
        <v>0.05</v>
      </c>
      <c r="K483" s="17">
        <v>1520</v>
      </c>
      <c r="L483" s="17">
        <v>975</v>
      </c>
      <c r="M483" s="17">
        <v>545</v>
      </c>
      <c r="N483" s="18">
        <v>0.35859999999999997</v>
      </c>
    </row>
    <row r="484" spans="1:14" ht="14.5" x14ac:dyDescent="0.35">
      <c r="A484" s="9" t="s">
        <v>732</v>
      </c>
      <c r="B484" s="15">
        <v>46009</v>
      </c>
      <c r="C484" s="9" t="s">
        <v>717</v>
      </c>
      <c r="D484" s="9" t="s">
        <v>52</v>
      </c>
      <c r="E484" s="9" t="s">
        <v>23</v>
      </c>
      <c r="F484" s="9" t="s">
        <v>38</v>
      </c>
      <c r="G484" s="9" t="s">
        <v>49</v>
      </c>
      <c r="H484" s="16">
        <v>5</v>
      </c>
      <c r="I484" s="17">
        <v>35</v>
      </c>
      <c r="J484" s="18">
        <v>0</v>
      </c>
      <c r="K484" s="17">
        <v>175</v>
      </c>
      <c r="L484" s="17">
        <v>90</v>
      </c>
      <c r="M484" s="17">
        <v>85</v>
      </c>
      <c r="N484" s="18">
        <v>0.48570000000000002</v>
      </c>
    </row>
    <row r="485" spans="1:14" ht="14.5" x14ac:dyDescent="0.35">
      <c r="A485" s="9" t="s">
        <v>733</v>
      </c>
      <c r="B485" s="15">
        <v>46011</v>
      </c>
      <c r="C485" s="9" t="s">
        <v>255</v>
      </c>
      <c r="D485" s="9" t="s">
        <v>43</v>
      </c>
      <c r="E485" s="9" t="s">
        <v>23</v>
      </c>
      <c r="F485" s="9" t="s">
        <v>24</v>
      </c>
      <c r="G485" s="9" t="s">
        <v>25</v>
      </c>
      <c r="H485" s="16">
        <v>5</v>
      </c>
      <c r="I485" s="17">
        <v>75</v>
      </c>
      <c r="J485" s="18">
        <v>0</v>
      </c>
      <c r="K485" s="17">
        <v>375</v>
      </c>
      <c r="L485" s="17">
        <v>200</v>
      </c>
      <c r="M485" s="17">
        <v>175</v>
      </c>
      <c r="N485" s="18">
        <v>0.4667</v>
      </c>
    </row>
    <row r="486" spans="1:14" ht="14.5" x14ac:dyDescent="0.35">
      <c r="A486" s="9" t="s">
        <v>734</v>
      </c>
      <c r="B486" s="15">
        <v>46012</v>
      </c>
      <c r="C486" s="9" t="s">
        <v>129</v>
      </c>
      <c r="D486" s="9" t="s">
        <v>60</v>
      </c>
      <c r="E486" s="9" t="s">
        <v>34</v>
      </c>
      <c r="F486" s="9" t="s">
        <v>38</v>
      </c>
      <c r="G486" s="9" t="s">
        <v>35</v>
      </c>
      <c r="H486" s="16">
        <v>1</v>
      </c>
      <c r="I486" s="17">
        <v>240</v>
      </c>
      <c r="J486" s="18">
        <v>0.02</v>
      </c>
      <c r="K486" s="17">
        <v>235.2</v>
      </c>
      <c r="L486" s="17">
        <v>145</v>
      </c>
      <c r="M486" s="17">
        <v>90.2</v>
      </c>
      <c r="N486" s="18">
        <v>0.38350000000000001</v>
      </c>
    </row>
    <row r="487" spans="1:14" ht="14.5" x14ac:dyDescent="0.35">
      <c r="A487" s="9" t="s">
        <v>735</v>
      </c>
      <c r="B487" s="15">
        <v>46012</v>
      </c>
      <c r="C487" s="9" t="s">
        <v>109</v>
      </c>
      <c r="D487" s="9" t="s">
        <v>52</v>
      </c>
      <c r="E487" s="9" t="s">
        <v>23</v>
      </c>
      <c r="F487" s="9" t="s">
        <v>18</v>
      </c>
      <c r="G487" s="9" t="s">
        <v>35</v>
      </c>
      <c r="H487" s="16">
        <v>4</v>
      </c>
      <c r="I487" s="17">
        <v>35</v>
      </c>
      <c r="J487" s="18">
        <v>0.05</v>
      </c>
      <c r="K487" s="17">
        <v>133</v>
      </c>
      <c r="L487" s="17">
        <v>72</v>
      </c>
      <c r="M487" s="17">
        <v>61</v>
      </c>
      <c r="N487" s="18">
        <v>0.45860000000000001</v>
      </c>
    </row>
    <row r="488" spans="1:14" ht="14.5" x14ac:dyDescent="0.35">
      <c r="A488" s="9" t="s">
        <v>736</v>
      </c>
      <c r="B488" s="15">
        <v>46012</v>
      </c>
      <c r="C488" s="9" t="s">
        <v>163</v>
      </c>
      <c r="D488" s="9" t="s">
        <v>16</v>
      </c>
      <c r="E488" s="9" t="s">
        <v>17</v>
      </c>
      <c r="F488" s="9" t="s">
        <v>30</v>
      </c>
      <c r="G488" s="9" t="s">
        <v>49</v>
      </c>
      <c r="H488" s="16">
        <v>6</v>
      </c>
      <c r="I488" s="17">
        <v>210</v>
      </c>
      <c r="J488" s="18">
        <v>0</v>
      </c>
      <c r="K488" s="17">
        <v>1260</v>
      </c>
      <c r="L488" s="17">
        <v>750</v>
      </c>
      <c r="M488" s="17">
        <v>510</v>
      </c>
      <c r="N488" s="18">
        <v>0.40479999999999999</v>
      </c>
    </row>
    <row r="489" spans="1:14" ht="14.5" x14ac:dyDescent="0.35">
      <c r="A489" s="9" t="s">
        <v>737</v>
      </c>
      <c r="B489" s="15">
        <v>46014</v>
      </c>
      <c r="C489" s="9" t="s">
        <v>738</v>
      </c>
      <c r="D489" s="9" t="s">
        <v>60</v>
      </c>
      <c r="E489" s="9" t="s">
        <v>34</v>
      </c>
      <c r="F489" s="9" t="s">
        <v>18</v>
      </c>
      <c r="G489" s="9" t="s">
        <v>35</v>
      </c>
      <c r="H489" s="16">
        <v>9</v>
      </c>
      <c r="I489" s="17">
        <v>240</v>
      </c>
      <c r="J489" s="18">
        <v>0</v>
      </c>
      <c r="K489" s="17">
        <v>2160</v>
      </c>
      <c r="L489" s="17">
        <v>1305</v>
      </c>
      <c r="M489" s="17">
        <v>855</v>
      </c>
      <c r="N489" s="18">
        <v>0.39579999999999999</v>
      </c>
    </row>
    <row r="490" spans="1:14" ht="14.5" x14ac:dyDescent="0.35">
      <c r="A490" s="9" t="s">
        <v>739</v>
      </c>
      <c r="B490" s="15">
        <v>46014</v>
      </c>
      <c r="C490" s="9" t="s">
        <v>740</v>
      </c>
      <c r="D490" s="9" t="s">
        <v>16</v>
      </c>
      <c r="E490" s="9" t="s">
        <v>17</v>
      </c>
      <c r="F490" s="9" t="s">
        <v>30</v>
      </c>
      <c r="G490" s="9" t="s">
        <v>35</v>
      </c>
      <c r="H490" s="16">
        <v>1</v>
      </c>
      <c r="I490" s="17">
        <v>210</v>
      </c>
      <c r="J490" s="18">
        <v>0.1</v>
      </c>
      <c r="K490" s="17">
        <v>189</v>
      </c>
      <c r="L490" s="17">
        <v>125</v>
      </c>
      <c r="M490" s="17">
        <v>64</v>
      </c>
      <c r="N490" s="18">
        <v>0.33860000000000001</v>
      </c>
    </row>
    <row r="491" spans="1:14" ht="14.5" x14ac:dyDescent="0.35">
      <c r="A491" s="9" t="s">
        <v>741</v>
      </c>
      <c r="B491" s="15">
        <v>46014</v>
      </c>
      <c r="C491" s="9" t="s">
        <v>448</v>
      </c>
      <c r="D491" s="9" t="s">
        <v>28</v>
      </c>
      <c r="E491" s="9" t="s">
        <v>29</v>
      </c>
      <c r="F491" s="9" t="s">
        <v>18</v>
      </c>
      <c r="G491" s="9" t="s">
        <v>49</v>
      </c>
      <c r="H491" s="16">
        <v>2</v>
      </c>
      <c r="I491" s="17">
        <v>850</v>
      </c>
      <c r="J491" s="18">
        <v>0</v>
      </c>
      <c r="K491" s="17">
        <v>1700</v>
      </c>
      <c r="L491" s="17">
        <v>1040</v>
      </c>
      <c r="M491" s="17">
        <v>660</v>
      </c>
      <c r="N491" s="18">
        <v>0.38819999999999999</v>
      </c>
    </row>
    <row r="492" spans="1:14" ht="14.5" x14ac:dyDescent="0.35">
      <c r="A492" s="9" t="s">
        <v>742</v>
      </c>
      <c r="B492" s="15">
        <v>46015</v>
      </c>
      <c r="C492" s="9" t="s">
        <v>351</v>
      </c>
      <c r="D492" s="9" t="s">
        <v>52</v>
      </c>
      <c r="E492" s="9" t="s">
        <v>23</v>
      </c>
      <c r="F492" s="9" t="s">
        <v>38</v>
      </c>
      <c r="G492" s="9" t="s">
        <v>35</v>
      </c>
      <c r="H492" s="16">
        <v>9</v>
      </c>
      <c r="I492" s="17">
        <v>35</v>
      </c>
      <c r="J492" s="18">
        <v>0.1</v>
      </c>
      <c r="K492" s="17">
        <v>283.5</v>
      </c>
      <c r="L492" s="17">
        <v>162</v>
      </c>
      <c r="M492" s="17">
        <v>121.5</v>
      </c>
      <c r="N492" s="18">
        <v>0.42859999999999998</v>
      </c>
    </row>
    <row r="493" spans="1:14" ht="14.5" x14ac:dyDescent="0.35">
      <c r="A493" s="9" t="s">
        <v>743</v>
      </c>
      <c r="B493" s="15">
        <v>46015</v>
      </c>
      <c r="C493" s="9" t="s">
        <v>179</v>
      </c>
      <c r="D493" s="9" t="s">
        <v>28</v>
      </c>
      <c r="E493" s="9" t="s">
        <v>29</v>
      </c>
      <c r="F493" s="9" t="s">
        <v>38</v>
      </c>
      <c r="G493" s="9" t="s">
        <v>35</v>
      </c>
      <c r="H493" s="16">
        <v>7</v>
      </c>
      <c r="I493" s="17">
        <v>850</v>
      </c>
      <c r="J493" s="18">
        <v>0.1</v>
      </c>
      <c r="K493" s="17">
        <v>5355</v>
      </c>
      <c r="L493" s="17">
        <v>3640</v>
      </c>
      <c r="M493" s="17">
        <v>1715</v>
      </c>
      <c r="N493" s="18">
        <v>0.32029999999999997</v>
      </c>
    </row>
    <row r="494" spans="1:14" ht="14.5" x14ac:dyDescent="0.35">
      <c r="A494" s="9" t="s">
        <v>744</v>
      </c>
      <c r="B494" s="15">
        <v>46017</v>
      </c>
      <c r="C494" s="9" t="s">
        <v>149</v>
      </c>
      <c r="D494" s="9" t="s">
        <v>22</v>
      </c>
      <c r="E494" s="9" t="s">
        <v>23</v>
      </c>
      <c r="F494" s="9" t="s">
        <v>24</v>
      </c>
      <c r="G494" s="9" t="s">
        <v>19</v>
      </c>
      <c r="H494" s="16">
        <v>6</v>
      </c>
      <c r="I494" s="17">
        <v>65</v>
      </c>
      <c r="J494" s="18">
        <v>0.05</v>
      </c>
      <c r="K494" s="17">
        <v>370.5</v>
      </c>
      <c r="L494" s="17">
        <v>210</v>
      </c>
      <c r="M494" s="17">
        <v>160.5</v>
      </c>
      <c r="N494" s="18">
        <v>0.43319999999999997</v>
      </c>
    </row>
    <row r="495" spans="1:14" ht="14.5" x14ac:dyDescent="0.35">
      <c r="A495" s="9" t="s">
        <v>745</v>
      </c>
      <c r="B495" s="15">
        <v>46017</v>
      </c>
      <c r="C495" s="9" t="s">
        <v>221</v>
      </c>
      <c r="D495" s="9" t="s">
        <v>33</v>
      </c>
      <c r="E495" s="9" t="s">
        <v>34</v>
      </c>
      <c r="F495" s="9" t="s">
        <v>30</v>
      </c>
      <c r="G495" s="9" t="s">
        <v>53</v>
      </c>
      <c r="H495" s="16">
        <v>7</v>
      </c>
      <c r="I495" s="17">
        <v>320</v>
      </c>
      <c r="J495" s="18">
        <v>0.05</v>
      </c>
      <c r="K495" s="17">
        <v>2128</v>
      </c>
      <c r="L495" s="17">
        <v>1365</v>
      </c>
      <c r="M495" s="17">
        <v>763</v>
      </c>
      <c r="N495" s="18">
        <v>0.35859999999999997</v>
      </c>
    </row>
    <row r="496" spans="1:14" ht="14.5" x14ac:dyDescent="0.35">
      <c r="A496" s="9" t="s">
        <v>746</v>
      </c>
      <c r="B496" s="15">
        <v>46018</v>
      </c>
      <c r="C496" s="9" t="s">
        <v>244</v>
      </c>
      <c r="D496" s="9" t="s">
        <v>60</v>
      </c>
      <c r="E496" s="9" t="s">
        <v>34</v>
      </c>
      <c r="F496" s="9" t="s">
        <v>18</v>
      </c>
      <c r="G496" s="9" t="s">
        <v>19</v>
      </c>
      <c r="H496" s="16">
        <v>3</v>
      </c>
      <c r="I496" s="17">
        <v>240</v>
      </c>
      <c r="J496" s="18">
        <v>0</v>
      </c>
      <c r="K496" s="17">
        <v>720</v>
      </c>
      <c r="L496" s="17">
        <v>435</v>
      </c>
      <c r="M496" s="17">
        <v>285</v>
      </c>
      <c r="N496" s="18">
        <v>0.39579999999999999</v>
      </c>
    </row>
    <row r="497" spans="1:14" ht="14.5" x14ac:dyDescent="0.35">
      <c r="A497" s="9" t="s">
        <v>747</v>
      </c>
      <c r="B497" s="15">
        <v>46018</v>
      </c>
      <c r="C497" s="9" t="s">
        <v>211</v>
      </c>
      <c r="D497" s="9" t="s">
        <v>28</v>
      </c>
      <c r="E497" s="9" t="s">
        <v>29</v>
      </c>
      <c r="F497" s="9" t="s">
        <v>38</v>
      </c>
      <c r="G497" s="9" t="s">
        <v>49</v>
      </c>
      <c r="H497" s="16">
        <v>7</v>
      </c>
      <c r="I497" s="17">
        <v>850</v>
      </c>
      <c r="J497" s="18">
        <v>0.1</v>
      </c>
      <c r="K497" s="17">
        <v>5355</v>
      </c>
      <c r="L497" s="17">
        <v>3640</v>
      </c>
      <c r="M497" s="17">
        <v>1715</v>
      </c>
      <c r="N497" s="18">
        <v>0.32029999999999997</v>
      </c>
    </row>
    <row r="498" spans="1:14" ht="14.5" x14ac:dyDescent="0.35">
      <c r="A498" s="9" t="s">
        <v>748</v>
      </c>
      <c r="B498" s="15">
        <v>46021</v>
      </c>
      <c r="C498" s="9" t="s">
        <v>711</v>
      </c>
      <c r="D498" s="9" t="s">
        <v>142</v>
      </c>
      <c r="E498" s="9" t="s">
        <v>29</v>
      </c>
      <c r="F498" s="9" t="s">
        <v>30</v>
      </c>
      <c r="G498" s="9" t="s">
        <v>53</v>
      </c>
      <c r="H498" s="16">
        <v>5</v>
      </c>
      <c r="I498" s="17">
        <v>280</v>
      </c>
      <c r="J498" s="18">
        <v>0.05</v>
      </c>
      <c r="K498" s="17">
        <v>1330</v>
      </c>
      <c r="L498" s="17">
        <v>850</v>
      </c>
      <c r="M498" s="17">
        <v>480</v>
      </c>
      <c r="N498" s="18">
        <v>0.3609</v>
      </c>
    </row>
    <row r="499" spans="1:14" ht="14.5" x14ac:dyDescent="0.35">
      <c r="A499" s="9" t="s">
        <v>749</v>
      </c>
      <c r="B499" s="15">
        <v>46022</v>
      </c>
      <c r="C499" s="9" t="s">
        <v>57</v>
      </c>
      <c r="D499" s="9" t="s">
        <v>142</v>
      </c>
      <c r="E499" s="9" t="s">
        <v>29</v>
      </c>
      <c r="F499" s="9" t="s">
        <v>30</v>
      </c>
      <c r="G499" s="9" t="s">
        <v>49</v>
      </c>
      <c r="H499" s="16">
        <v>9</v>
      </c>
      <c r="I499" s="17">
        <v>280</v>
      </c>
      <c r="J499" s="18">
        <v>0.1</v>
      </c>
      <c r="K499" s="17">
        <v>2268</v>
      </c>
      <c r="L499" s="17">
        <v>1530</v>
      </c>
      <c r="M499" s="17">
        <v>738</v>
      </c>
      <c r="N499" s="18">
        <v>0.32540000000000002</v>
      </c>
    </row>
    <row r="500" spans="1:14" ht="14.5" x14ac:dyDescent="0.35">
      <c r="A500" s="9" t="s">
        <v>750</v>
      </c>
      <c r="B500" s="15">
        <v>46022</v>
      </c>
      <c r="C500" s="9" t="s">
        <v>102</v>
      </c>
      <c r="D500" s="9" t="s">
        <v>43</v>
      </c>
      <c r="E500" s="9" t="s">
        <v>23</v>
      </c>
      <c r="F500" s="9" t="s">
        <v>38</v>
      </c>
      <c r="G500" s="9" t="s">
        <v>19</v>
      </c>
      <c r="H500" s="16">
        <v>4</v>
      </c>
      <c r="I500" s="17">
        <v>75</v>
      </c>
      <c r="J500" s="18">
        <v>0.05</v>
      </c>
      <c r="K500" s="17">
        <v>285</v>
      </c>
      <c r="L500" s="17">
        <v>160</v>
      </c>
      <c r="M500" s="17">
        <v>125</v>
      </c>
      <c r="N500" s="18">
        <v>0.43859999999999999</v>
      </c>
    </row>
    <row r="501" spans="1:14" ht="14.5" x14ac:dyDescent="0.35">
      <c r="A501" s="9" t="s">
        <v>751</v>
      </c>
      <c r="B501" s="15">
        <v>46022</v>
      </c>
      <c r="C501" s="9" t="s">
        <v>383</v>
      </c>
      <c r="D501" s="9" t="s">
        <v>43</v>
      </c>
      <c r="E501" s="9" t="s">
        <v>23</v>
      </c>
      <c r="F501" s="9" t="s">
        <v>24</v>
      </c>
      <c r="G501" s="9" t="s">
        <v>25</v>
      </c>
      <c r="H501" s="16">
        <v>3</v>
      </c>
      <c r="I501" s="17">
        <v>75</v>
      </c>
      <c r="J501" s="18">
        <v>0.05</v>
      </c>
      <c r="K501" s="17">
        <v>213.75</v>
      </c>
      <c r="L501" s="17">
        <v>120</v>
      </c>
      <c r="M501" s="17">
        <v>93.75</v>
      </c>
      <c r="N501" s="18">
        <v>0.43859999999999999</v>
      </c>
    </row>
  </sheetData>
  <autoFilter ref="A1:N501" xr:uid="{00000000-0009-0000-0000-000000000000}"/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Normal="100" workbookViewId="0">
      <selection activeCell="A10" sqref="A10:C10"/>
    </sheetView>
  </sheetViews>
  <sheetFormatPr defaultColWidth="8.6328125" defaultRowHeight="14.25" customHeight="1" x14ac:dyDescent="0.35"/>
  <cols>
    <col min="1" max="2" width="15.6328125" style="9" customWidth="1"/>
  </cols>
  <sheetData>
    <row r="1" spans="1:5" ht="14.5" x14ac:dyDescent="0.35">
      <c r="A1" s="19" t="s">
        <v>752</v>
      </c>
      <c r="B1" s="19" t="s">
        <v>753</v>
      </c>
    </row>
    <row r="2" spans="1:5" ht="14.5" x14ac:dyDescent="0.35">
      <c r="A2" s="20" t="s">
        <v>754</v>
      </c>
      <c r="B2" s="21">
        <f>SUM(Raw_Sales_Data!K2:K501)</f>
        <v>680363.20000000007</v>
      </c>
    </row>
    <row r="3" spans="1:5" ht="14.5" x14ac:dyDescent="0.35">
      <c r="A3" s="22" t="s">
        <v>755</v>
      </c>
      <c r="B3" s="21">
        <f>SUM(Raw_Sales_Data!L2:L501)</f>
        <v>429297</v>
      </c>
    </row>
    <row r="4" spans="1:5" ht="14.5" x14ac:dyDescent="0.35">
      <c r="A4" s="22" t="s">
        <v>756</v>
      </c>
      <c r="B4" s="21">
        <f>SUM(Raw_Sales_Data!M2:M501)</f>
        <v>251066.20000000004</v>
      </c>
    </row>
    <row r="5" spans="1:5" ht="28.5" customHeight="1" x14ac:dyDescent="0.35">
      <c r="A5" s="22" t="s">
        <v>757</v>
      </c>
      <c r="B5" s="23">
        <f>SUM(Raw_Sales_Data!H2:H501)</f>
        <v>2710</v>
      </c>
    </row>
    <row r="6" spans="1:5" ht="28.5" customHeight="1" x14ac:dyDescent="0.35">
      <c r="A6" s="22" t="s">
        <v>758</v>
      </c>
      <c r="B6" s="20">
        <f>COUNTA(Raw_Sales_Data!A2:A501)</f>
        <v>500</v>
      </c>
    </row>
    <row r="7" spans="1:5" ht="28.5" customHeight="1" x14ac:dyDescent="0.35">
      <c r="A7" s="22" t="s">
        <v>759</v>
      </c>
      <c r="B7" s="21">
        <f>B2/B6</f>
        <v>1360.7264000000002</v>
      </c>
    </row>
    <row r="8" spans="1:5" ht="28.5" customHeight="1" x14ac:dyDescent="0.35">
      <c r="A8" s="22" t="s">
        <v>760</v>
      </c>
      <c r="B8" s="24">
        <f>B4/B2</f>
        <v>0.3690179010269809</v>
      </c>
    </row>
    <row r="10" spans="1:5" ht="14.25" customHeight="1" x14ac:dyDescent="0.35">
      <c r="A10" s="8" t="s">
        <v>761</v>
      </c>
      <c r="B10" s="8"/>
      <c r="C10" s="8"/>
      <c r="D10" s="22"/>
      <c r="E10" s="22"/>
    </row>
    <row r="11" spans="1:5" ht="14.25" customHeight="1" x14ac:dyDescent="0.35">
      <c r="A11" s="8" t="s">
        <v>762</v>
      </c>
      <c r="B11" s="8"/>
      <c r="C11" s="8"/>
      <c r="D11" s="25"/>
      <c r="E11" s="25"/>
    </row>
    <row r="12" spans="1:5" ht="14.25" customHeight="1" x14ac:dyDescent="0.35">
      <c r="A12" s="8" t="s">
        <v>763</v>
      </c>
      <c r="B12" s="8"/>
      <c r="C12" s="8"/>
      <c r="D12" s="25"/>
      <c r="E12" s="25"/>
    </row>
    <row r="13" spans="1:5" ht="14.25" customHeight="1" x14ac:dyDescent="0.35">
      <c r="A13" s="8" t="s">
        <v>764</v>
      </c>
      <c r="B13" s="8"/>
      <c r="C13" s="8"/>
      <c r="D13" s="25"/>
      <c r="E13" s="25"/>
    </row>
    <row r="14" spans="1:5" ht="14.25" customHeight="1" x14ac:dyDescent="0.35">
      <c r="A14" s="8" t="s">
        <v>765</v>
      </c>
      <c r="B14" s="8"/>
      <c r="C14" s="8"/>
      <c r="D14" s="25"/>
      <c r="E14" s="25"/>
    </row>
    <row r="15" spans="1:5" ht="14.25" customHeight="1" x14ac:dyDescent="0.35">
      <c r="A15" s="7" t="s">
        <v>766</v>
      </c>
      <c r="B15" s="7"/>
      <c r="C15" s="7"/>
      <c r="D15" s="25"/>
      <c r="E15" s="25"/>
    </row>
    <row r="16" spans="1:5" ht="14.25" customHeight="1" x14ac:dyDescent="0.35">
      <c r="A16" s="7" t="s">
        <v>767</v>
      </c>
      <c r="B16" s="7"/>
      <c r="C16" s="7"/>
      <c r="D16" s="25"/>
      <c r="E16" s="25"/>
    </row>
    <row r="17" spans="1:5" ht="14.5" x14ac:dyDescent="0.35">
      <c r="A17" s="6"/>
      <c r="B17" s="6"/>
      <c r="C17" s="25"/>
      <c r="D17" s="25"/>
      <c r="E17" s="25"/>
    </row>
  </sheetData>
  <mergeCells count="8">
    <mergeCell ref="A15:C15"/>
    <mergeCell ref="A16:C16"/>
    <mergeCell ref="A17:B17"/>
    <mergeCell ref="A10:C10"/>
    <mergeCell ref="A11:C11"/>
    <mergeCell ref="A12:C12"/>
    <mergeCell ref="A13:C13"/>
    <mergeCell ref="A14:C14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opLeftCell="A54" zoomScaleNormal="100" workbookViewId="0">
      <selection activeCell="M27" sqref="M27"/>
    </sheetView>
  </sheetViews>
  <sheetFormatPr defaultColWidth="8.6328125" defaultRowHeight="14.25" customHeight="1" x14ac:dyDescent="0.35"/>
  <cols>
    <col min="1" max="1" width="12.6328125" style="9" customWidth="1"/>
    <col min="2" max="2" width="12.453125" style="9" customWidth="1"/>
    <col min="3" max="3" width="11.1796875" style="9" customWidth="1"/>
    <col min="4" max="4" width="15.6328125" style="9" customWidth="1"/>
    <col min="5" max="5" width="13.453125" style="9" customWidth="1"/>
    <col min="7" max="7" width="12.81640625" style="9" customWidth="1"/>
    <col min="8" max="8" width="14.36328125" style="9" customWidth="1"/>
    <col min="9" max="9" width="11.81640625" style="9" customWidth="1"/>
    <col min="10" max="10" width="11.90625" style="9" customWidth="1"/>
    <col min="11" max="11" width="12.08984375" style="9" customWidth="1"/>
  </cols>
  <sheetData>
    <row r="1" spans="1:10" ht="14.5" x14ac:dyDescent="0.35">
      <c r="B1" s="5" t="s">
        <v>768</v>
      </c>
      <c r="C1" s="5"/>
      <c r="H1" s="4" t="s">
        <v>769</v>
      </c>
      <c r="I1" s="4"/>
    </row>
    <row r="3" spans="1:10" ht="14.5" x14ac:dyDescent="0.35">
      <c r="A3" s="26" t="s">
        <v>3</v>
      </c>
      <c r="B3" s="27" t="s">
        <v>10</v>
      </c>
      <c r="C3" s="27" t="s">
        <v>12</v>
      </c>
      <c r="D3" s="27" t="s">
        <v>770</v>
      </c>
      <c r="G3" s="28" t="s">
        <v>3</v>
      </c>
      <c r="H3" s="29" t="s">
        <v>771</v>
      </c>
      <c r="I3" s="30" t="s">
        <v>772</v>
      </c>
      <c r="J3" s="31" t="s">
        <v>770</v>
      </c>
    </row>
    <row r="4" spans="1:10" ht="14.5" x14ac:dyDescent="0.35">
      <c r="A4" s="20" t="s">
        <v>33</v>
      </c>
      <c r="B4" s="17">
        <v>105024</v>
      </c>
      <c r="C4" s="17">
        <v>38334</v>
      </c>
      <c r="D4" s="32">
        <v>0.36499999999999999</v>
      </c>
      <c r="G4" s="33" t="s">
        <v>33</v>
      </c>
      <c r="H4" s="34">
        <v>105024</v>
      </c>
      <c r="I4" s="35">
        <v>38334</v>
      </c>
      <c r="J4" s="18">
        <f t="shared" ref="J4:J12" si="0">I4/H4</f>
        <v>0.3650022851919561</v>
      </c>
    </row>
    <row r="5" spans="1:10" ht="14.5" x14ac:dyDescent="0.35">
      <c r="A5" s="20" t="s">
        <v>43</v>
      </c>
      <c r="B5" s="17">
        <v>29112</v>
      </c>
      <c r="C5" s="17">
        <v>12832</v>
      </c>
      <c r="D5" s="32">
        <v>0.44080000000000003</v>
      </c>
      <c r="G5" s="36" t="s">
        <v>43</v>
      </c>
      <c r="H5" s="37">
        <v>29112</v>
      </c>
      <c r="I5" s="38">
        <v>12832</v>
      </c>
      <c r="J5" s="18">
        <f t="shared" si="0"/>
        <v>0.44078043418521573</v>
      </c>
    </row>
    <row r="6" spans="1:10" ht="14.5" x14ac:dyDescent="0.35">
      <c r="A6" s="20" t="s">
        <v>22</v>
      </c>
      <c r="B6" s="17">
        <v>22100</v>
      </c>
      <c r="C6" s="17">
        <v>9745</v>
      </c>
      <c r="D6" s="32">
        <v>0.441</v>
      </c>
      <c r="G6" s="36" t="s">
        <v>22</v>
      </c>
      <c r="H6" s="37">
        <v>22100</v>
      </c>
      <c r="I6" s="38">
        <v>9745</v>
      </c>
      <c r="J6" s="18">
        <f t="shared" si="0"/>
        <v>0.44095022624434388</v>
      </c>
    </row>
    <row r="7" spans="1:10" ht="14.5" x14ac:dyDescent="0.35">
      <c r="A7" s="20" t="s">
        <v>28</v>
      </c>
      <c r="B7" s="17">
        <v>323756.5</v>
      </c>
      <c r="C7" s="17">
        <v>114716.5</v>
      </c>
      <c r="D7" s="32">
        <v>0.3543</v>
      </c>
      <c r="G7" s="36" t="s">
        <v>28</v>
      </c>
      <c r="H7" s="37">
        <v>323756.5</v>
      </c>
      <c r="I7" s="38">
        <v>114716.5</v>
      </c>
      <c r="J7" s="18">
        <f t="shared" si="0"/>
        <v>0.35432956558401146</v>
      </c>
    </row>
    <row r="8" spans="1:10" ht="14.5" x14ac:dyDescent="0.35">
      <c r="A8" s="20" t="s">
        <v>142</v>
      </c>
      <c r="B8" s="17">
        <v>68012</v>
      </c>
      <c r="C8" s="17">
        <v>24662</v>
      </c>
      <c r="D8" s="32">
        <v>0.36259999999999998</v>
      </c>
      <c r="G8" s="36" t="s">
        <v>142</v>
      </c>
      <c r="H8" s="37">
        <v>68012</v>
      </c>
      <c r="I8" s="38">
        <v>24662</v>
      </c>
      <c r="J8" s="18">
        <f t="shared" si="0"/>
        <v>0.36261248015056169</v>
      </c>
    </row>
    <row r="9" spans="1:10" ht="14.5" x14ac:dyDescent="0.35">
      <c r="A9" s="20" t="s">
        <v>52</v>
      </c>
      <c r="B9" s="17">
        <v>13370</v>
      </c>
      <c r="C9" s="17">
        <v>6188</v>
      </c>
      <c r="D9" s="32">
        <v>0.46279999999999999</v>
      </c>
      <c r="G9" s="36" t="s">
        <v>52</v>
      </c>
      <c r="H9" s="37">
        <v>13370</v>
      </c>
      <c r="I9" s="38">
        <v>6188</v>
      </c>
      <c r="J9" s="18">
        <f t="shared" si="0"/>
        <v>0.46282722513089003</v>
      </c>
    </row>
    <row r="10" spans="1:10" ht="14.5" x14ac:dyDescent="0.35">
      <c r="A10" s="22" t="s">
        <v>60</v>
      </c>
      <c r="B10" s="17">
        <v>62299.199999999997</v>
      </c>
      <c r="C10" s="17">
        <v>23149.200000000001</v>
      </c>
      <c r="D10" s="32">
        <v>0.37159999999999999</v>
      </c>
      <c r="G10" s="36" t="s">
        <v>60</v>
      </c>
      <c r="H10" s="37">
        <v>62299.199999999997</v>
      </c>
      <c r="I10" s="38">
        <v>23149.200000000001</v>
      </c>
      <c r="J10" s="18">
        <f t="shared" si="0"/>
        <v>0.37158101548655526</v>
      </c>
    </row>
    <row r="11" spans="1:10" ht="14.5" x14ac:dyDescent="0.35">
      <c r="A11" s="20" t="s">
        <v>16</v>
      </c>
      <c r="B11" s="17">
        <v>56689.5</v>
      </c>
      <c r="C11" s="17">
        <v>21439.5</v>
      </c>
      <c r="D11" s="32">
        <v>0.37819999999999998</v>
      </c>
      <c r="G11" s="36" t="s">
        <v>16</v>
      </c>
      <c r="H11" s="39">
        <v>56689.5</v>
      </c>
      <c r="I11" s="40">
        <v>21439.5</v>
      </c>
      <c r="J11" s="18">
        <f t="shared" si="0"/>
        <v>0.37819172862699441</v>
      </c>
    </row>
    <row r="12" spans="1:10" ht="14.5" x14ac:dyDescent="0.35">
      <c r="A12" s="41" t="s">
        <v>773</v>
      </c>
      <c r="B12" s="42">
        <v>680363.2</v>
      </c>
      <c r="C12" s="42">
        <v>251066.2</v>
      </c>
      <c r="D12" s="43">
        <v>0.36899999999999999</v>
      </c>
      <c r="G12" s="44" t="s">
        <v>774</v>
      </c>
      <c r="H12" s="45">
        <v>680363.2</v>
      </c>
      <c r="I12" s="46">
        <v>251066.2</v>
      </c>
      <c r="J12" s="47">
        <f t="shared" si="0"/>
        <v>0.3690179010269809</v>
      </c>
    </row>
    <row r="16" spans="1:10" ht="14.5" x14ac:dyDescent="0.35">
      <c r="A16" s="5" t="s">
        <v>775</v>
      </c>
      <c r="B16" s="5"/>
      <c r="C16" s="5"/>
      <c r="F16" s="48"/>
      <c r="H16" s="4" t="s">
        <v>776</v>
      </c>
      <c r="I16" s="4"/>
    </row>
    <row r="17" spans="1:11" ht="14.5" x14ac:dyDescent="0.35">
      <c r="F17" s="48"/>
      <c r="G17" s="48"/>
      <c r="H17" s="48"/>
      <c r="I17" s="48"/>
      <c r="J17" s="48"/>
      <c r="K17" s="48"/>
    </row>
    <row r="18" spans="1:11" ht="14.5" x14ac:dyDescent="0.35">
      <c r="A18" s="26" t="s">
        <v>4</v>
      </c>
      <c r="B18" s="27" t="s">
        <v>10</v>
      </c>
      <c r="C18" s="27" t="s">
        <v>12</v>
      </c>
      <c r="D18" s="27" t="s">
        <v>7</v>
      </c>
      <c r="E18" s="27" t="s">
        <v>770</v>
      </c>
      <c r="F18" s="48"/>
      <c r="G18" s="28" t="s">
        <v>4</v>
      </c>
      <c r="H18" s="29" t="s">
        <v>771</v>
      </c>
      <c r="I18" s="49" t="s">
        <v>772</v>
      </c>
      <c r="J18" s="30" t="s">
        <v>777</v>
      </c>
      <c r="K18" s="31" t="s">
        <v>770</v>
      </c>
    </row>
    <row r="19" spans="1:11" ht="28.5" customHeight="1" x14ac:dyDescent="0.35">
      <c r="A19" s="20" t="s">
        <v>23</v>
      </c>
      <c r="B19" s="17">
        <v>64582</v>
      </c>
      <c r="C19" s="17">
        <v>28765</v>
      </c>
      <c r="D19" s="16">
        <v>1159</v>
      </c>
      <c r="E19" s="50">
        <v>0.44540000000000002</v>
      </c>
      <c r="G19" s="33" t="s">
        <v>23</v>
      </c>
      <c r="H19" s="34">
        <v>64582</v>
      </c>
      <c r="I19" s="51">
        <v>28765</v>
      </c>
      <c r="J19" s="52">
        <v>1159</v>
      </c>
      <c r="K19" s="18">
        <f>I19/H19</f>
        <v>0.44540274379858164</v>
      </c>
    </row>
    <row r="20" spans="1:11" ht="28.5" customHeight="1" x14ac:dyDescent="0.35">
      <c r="A20" s="20" t="s">
        <v>29</v>
      </c>
      <c r="B20" s="17">
        <v>391768.5</v>
      </c>
      <c r="C20" s="17">
        <v>139378.5</v>
      </c>
      <c r="D20" s="53">
        <v>657</v>
      </c>
      <c r="E20" s="50">
        <v>0.35580000000000001</v>
      </c>
      <c r="G20" s="36" t="s">
        <v>29</v>
      </c>
      <c r="H20" s="37">
        <v>391768.5</v>
      </c>
      <c r="I20" s="54">
        <v>139378.5</v>
      </c>
      <c r="J20" s="55">
        <v>657</v>
      </c>
      <c r="K20" s="18">
        <f>I20/H20</f>
        <v>0.35576750044988303</v>
      </c>
    </row>
    <row r="21" spans="1:11" ht="14.5" x14ac:dyDescent="0.35">
      <c r="A21" s="20" t="s">
        <v>34</v>
      </c>
      <c r="B21" s="17">
        <v>167323.20000000001</v>
      </c>
      <c r="C21" s="17">
        <v>61483.199999999997</v>
      </c>
      <c r="D21" s="53">
        <v>612</v>
      </c>
      <c r="E21" s="50">
        <v>0.36749999999999999</v>
      </c>
      <c r="G21" s="36" t="s">
        <v>34</v>
      </c>
      <c r="H21" s="37">
        <v>167323.20000000001</v>
      </c>
      <c r="I21" s="54">
        <v>61483.199999999997</v>
      </c>
      <c r="J21" s="55">
        <v>612</v>
      </c>
      <c r="K21" s="18">
        <f>I21/H21</f>
        <v>0.36745173412891929</v>
      </c>
    </row>
    <row r="22" spans="1:11" ht="28.5" customHeight="1" x14ac:dyDescent="0.35">
      <c r="A22" s="20" t="s">
        <v>17</v>
      </c>
      <c r="B22" s="17">
        <v>56689.5</v>
      </c>
      <c r="C22" s="17">
        <v>21439.5</v>
      </c>
      <c r="D22" s="53">
        <v>282</v>
      </c>
      <c r="E22" s="50">
        <v>0.37819999999999998</v>
      </c>
      <c r="G22" s="36" t="s">
        <v>17</v>
      </c>
      <c r="H22" s="39">
        <v>56689.5</v>
      </c>
      <c r="I22" s="56">
        <v>21439.5</v>
      </c>
      <c r="J22" s="57">
        <v>282</v>
      </c>
      <c r="K22" s="18">
        <f>I22/H22</f>
        <v>0.37819172862699441</v>
      </c>
    </row>
    <row r="23" spans="1:11" s="62" customFormat="1" ht="28.5" customHeight="1" x14ac:dyDescent="0.35">
      <c r="A23" s="58" t="s">
        <v>778</v>
      </c>
      <c r="B23" s="59">
        <v>680363.2</v>
      </c>
      <c r="C23" s="59">
        <v>251066.2</v>
      </c>
      <c r="D23" s="60">
        <v>2710</v>
      </c>
      <c r="E23" s="61">
        <v>0.36899999999999999</v>
      </c>
      <c r="G23" s="44" t="s">
        <v>774</v>
      </c>
      <c r="H23" s="45">
        <v>680363.2</v>
      </c>
      <c r="I23" s="63">
        <v>251066.2</v>
      </c>
      <c r="J23" s="64">
        <v>2710</v>
      </c>
      <c r="K23" s="65">
        <f>I23/H23</f>
        <v>0.3690179010269809</v>
      </c>
    </row>
    <row r="25" spans="1:11" ht="14.5" x14ac:dyDescent="0.35">
      <c r="H25" s="4" t="s">
        <v>779</v>
      </c>
      <c r="I25" s="4"/>
    </row>
    <row r="26" spans="1:11" ht="14.5" x14ac:dyDescent="0.35">
      <c r="A26" s="5" t="s">
        <v>780</v>
      </c>
      <c r="B26" s="5"/>
      <c r="C26" s="5"/>
      <c r="D26" s="66"/>
    </row>
    <row r="27" spans="1:11" ht="14.5" x14ac:dyDescent="0.35">
      <c r="G27" s="28" t="s">
        <v>5</v>
      </c>
      <c r="H27" s="29" t="s">
        <v>771</v>
      </c>
      <c r="I27" s="49" t="s">
        <v>772</v>
      </c>
      <c r="J27" s="30" t="s">
        <v>777</v>
      </c>
      <c r="K27" s="31" t="s">
        <v>770</v>
      </c>
    </row>
    <row r="28" spans="1:11" ht="14.5" x14ac:dyDescent="0.35">
      <c r="A28" s="26" t="s">
        <v>5</v>
      </c>
      <c r="B28" s="27" t="s">
        <v>10</v>
      </c>
      <c r="C28" s="27" t="s">
        <v>12</v>
      </c>
      <c r="D28" s="27" t="s">
        <v>7</v>
      </c>
      <c r="E28" s="27" t="s">
        <v>770</v>
      </c>
      <c r="G28" s="33" t="s">
        <v>18</v>
      </c>
      <c r="H28" s="34">
        <v>202585.5</v>
      </c>
      <c r="I28" s="51">
        <v>73182.5</v>
      </c>
      <c r="J28" s="52">
        <v>717</v>
      </c>
      <c r="K28" s="18">
        <f>I28/H28</f>
        <v>0.3612425371016188</v>
      </c>
    </row>
    <row r="29" spans="1:11" ht="14.5" x14ac:dyDescent="0.35">
      <c r="A29" s="20" t="s">
        <v>18</v>
      </c>
      <c r="B29" s="17">
        <v>202585.5</v>
      </c>
      <c r="C29" s="17">
        <v>73182.5</v>
      </c>
      <c r="D29" s="53">
        <v>717</v>
      </c>
      <c r="E29" s="50">
        <v>0.36120000000000002</v>
      </c>
      <c r="G29" s="36" t="s">
        <v>30</v>
      </c>
      <c r="H29" s="37">
        <v>146616.35</v>
      </c>
      <c r="I29" s="54">
        <v>54639.35</v>
      </c>
      <c r="J29" s="55">
        <v>652</v>
      </c>
      <c r="K29" s="18">
        <f>I29/H29</f>
        <v>0.37266887356014522</v>
      </c>
    </row>
    <row r="30" spans="1:11" ht="14.5" x14ac:dyDescent="0.35">
      <c r="A30" s="20" t="s">
        <v>30</v>
      </c>
      <c r="B30" s="17">
        <v>146616.35</v>
      </c>
      <c r="C30" s="17">
        <v>54639.35</v>
      </c>
      <c r="D30" s="53">
        <v>652</v>
      </c>
      <c r="E30" s="50">
        <v>0.37269999999999998</v>
      </c>
      <c r="G30" s="36" t="s">
        <v>24</v>
      </c>
      <c r="H30" s="37">
        <v>180766.1</v>
      </c>
      <c r="I30" s="54">
        <v>67928.100000000006</v>
      </c>
      <c r="J30" s="55">
        <v>733</v>
      </c>
      <c r="K30" s="18">
        <f>I30/H30</f>
        <v>0.37577897625716328</v>
      </c>
    </row>
    <row r="31" spans="1:11" ht="14.5" x14ac:dyDescent="0.35">
      <c r="A31" s="20" t="s">
        <v>24</v>
      </c>
      <c r="B31" s="17">
        <v>180766.1</v>
      </c>
      <c r="C31" s="17">
        <v>67928.100000000006</v>
      </c>
      <c r="D31" s="53">
        <v>733</v>
      </c>
      <c r="E31" s="50">
        <v>0.37580000000000002</v>
      </c>
      <c r="G31" s="36" t="s">
        <v>38</v>
      </c>
      <c r="H31" s="39">
        <v>150395.25</v>
      </c>
      <c r="I31" s="56">
        <v>55316.25</v>
      </c>
      <c r="J31" s="57">
        <v>608</v>
      </c>
      <c r="K31" s="18">
        <f>I31/H31</f>
        <v>0.36780583163364533</v>
      </c>
    </row>
    <row r="32" spans="1:11" ht="14.5" x14ac:dyDescent="0.35">
      <c r="A32" s="20" t="s">
        <v>38</v>
      </c>
      <c r="B32" s="17">
        <v>150395.25</v>
      </c>
      <c r="C32" s="17">
        <v>55316.25</v>
      </c>
      <c r="D32" s="53">
        <v>608</v>
      </c>
      <c r="E32" s="50">
        <v>0.36780000000000002</v>
      </c>
      <c r="F32" s="9"/>
      <c r="G32" s="44" t="s">
        <v>774</v>
      </c>
      <c r="H32" s="45">
        <v>680363.2</v>
      </c>
      <c r="I32" s="63">
        <v>251066.2</v>
      </c>
      <c r="J32" s="64">
        <v>2710</v>
      </c>
      <c r="K32" s="47">
        <f>I32/H32</f>
        <v>0.3690179010269809</v>
      </c>
    </row>
    <row r="33" spans="1:11" s="62" customFormat="1" ht="14.5" x14ac:dyDescent="0.35">
      <c r="A33" s="58" t="s">
        <v>778</v>
      </c>
      <c r="B33" s="59">
        <v>680363.2</v>
      </c>
      <c r="C33" s="59">
        <v>251066.2</v>
      </c>
      <c r="D33" s="60">
        <v>2710</v>
      </c>
      <c r="E33" s="61">
        <v>0.36899999999999999</v>
      </c>
      <c r="K33" s="67"/>
    </row>
    <row r="34" spans="1:11" ht="14.5" x14ac:dyDescent="0.35">
      <c r="H34" s="5" t="s">
        <v>781</v>
      </c>
      <c r="I34" s="5"/>
    </row>
    <row r="36" spans="1:11" ht="14.5" x14ac:dyDescent="0.35">
      <c r="A36" s="5" t="s">
        <v>782</v>
      </c>
      <c r="B36" s="5"/>
      <c r="C36" s="5"/>
      <c r="G36" s="9" t="s">
        <v>783</v>
      </c>
      <c r="H36" s="9" t="s">
        <v>771</v>
      </c>
      <c r="I36" s="9" t="s">
        <v>772</v>
      </c>
      <c r="J36" s="9" t="s">
        <v>777</v>
      </c>
      <c r="K36" s="31" t="s">
        <v>770</v>
      </c>
    </row>
    <row r="37" spans="1:11" ht="14.5" x14ac:dyDescent="0.35">
      <c r="G37" s="62" t="s">
        <v>53</v>
      </c>
      <c r="H37" s="9">
        <v>110903.1</v>
      </c>
      <c r="I37" s="9">
        <v>41409.1</v>
      </c>
      <c r="J37" s="9">
        <v>464</v>
      </c>
      <c r="K37" s="18">
        <f t="shared" ref="K37:K43" si="1">I37/H37</f>
        <v>0.37338090639486177</v>
      </c>
    </row>
    <row r="38" spans="1:11" s="62" customFormat="1" ht="14.5" x14ac:dyDescent="0.35">
      <c r="A38" s="58" t="s">
        <v>6</v>
      </c>
      <c r="B38" s="58" t="s">
        <v>10</v>
      </c>
      <c r="C38" s="58" t="s">
        <v>12</v>
      </c>
      <c r="D38" s="58" t="s">
        <v>7</v>
      </c>
      <c r="E38" s="58" t="s">
        <v>770</v>
      </c>
      <c r="G38" s="62" t="s">
        <v>35</v>
      </c>
      <c r="H38" s="62">
        <v>118511.85</v>
      </c>
      <c r="I38" s="62">
        <v>43530.85</v>
      </c>
      <c r="J38" s="62">
        <v>486</v>
      </c>
      <c r="K38" s="68">
        <f t="shared" si="1"/>
        <v>0.36731221392628666</v>
      </c>
    </row>
    <row r="39" spans="1:11" ht="14.5" x14ac:dyDescent="0.35">
      <c r="A39" s="20" t="s">
        <v>53</v>
      </c>
      <c r="B39" s="17">
        <v>110903.1</v>
      </c>
      <c r="C39" s="17">
        <v>41409.1</v>
      </c>
      <c r="D39" s="53">
        <v>464</v>
      </c>
      <c r="E39" s="32">
        <v>0.37340000000000001</v>
      </c>
      <c r="G39" s="62" t="s">
        <v>19</v>
      </c>
      <c r="H39" s="9">
        <v>122137.15</v>
      </c>
      <c r="I39" s="9">
        <v>45274.15</v>
      </c>
      <c r="J39" s="9">
        <v>460</v>
      </c>
      <c r="K39" s="18">
        <f t="shared" si="1"/>
        <v>0.37068287576711922</v>
      </c>
    </row>
    <row r="40" spans="1:11" ht="14.5" x14ac:dyDescent="0.35">
      <c r="A40" s="20" t="s">
        <v>35</v>
      </c>
      <c r="B40" s="17">
        <v>118511.85</v>
      </c>
      <c r="C40" s="17">
        <v>43530.85</v>
      </c>
      <c r="D40" s="53">
        <v>486</v>
      </c>
      <c r="E40" s="32">
        <v>0.36730000000000002</v>
      </c>
      <c r="G40" s="62" t="s">
        <v>49</v>
      </c>
      <c r="H40" s="9">
        <v>100996.6</v>
      </c>
      <c r="I40" s="9">
        <v>36718.6</v>
      </c>
      <c r="J40" s="9">
        <v>350</v>
      </c>
      <c r="K40" s="18">
        <f t="shared" si="1"/>
        <v>0.36356273379499898</v>
      </c>
    </row>
    <row r="41" spans="1:11" ht="14.25" customHeight="1" x14ac:dyDescent="0.35">
      <c r="A41" s="20" t="s">
        <v>19</v>
      </c>
      <c r="B41" s="17">
        <v>122137.15</v>
      </c>
      <c r="C41" s="17">
        <v>45274.15</v>
      </c>
      <c r="D41" s="53">
        <v>460</v>
      </c>
      <c r="E41" s="32">
        <v>0.37069999999999997</v>
      </c>
      <c r="G41" s="62" t="s">
        <v>25</v>
      </c>
      <c r="H41" s="9">
        <v>134616.45000000001</v>
      </c>
      <c r="I41" s="9">
        <v>49688.45</v>
      </c>
      <c r="J41" s="9">
        <v>524</v>
      </c>
      <c r="K41" s="18">
        <f t="shared" si="1"/>
        <v>0.36911127874787958</v>
      </c>
    </row>
    <row r="42" spans="1:11" ht="14.5" x14ac:dyDescent="0.35">
      <c r="A42" s="20" t="s">
        <v>49</v>
      </c>
      <c r="B42" s="17">
        <v>100996.6</v>
      </c>
      <c r="C42" s="17">
        <v>36718.6</v>
      </c>
      <c r="D42" s="53">
        <v>350</v>
      </c>
      <c r="E42" s="32">
        <v>0.36359999999999998</v>
      </c>
      <c r="G42" s="62" t="s">
        <v>46</v>
      </c>
      <c r="H42" s="9">
        <v>93198.05</v>
      </c>
      <c r="I42" s="9">
        <v>34445.050000000003</v>
      </c>
      <c r="J42" s="9">
        <v>426</v>
      </c>
      <c r="K42" s="18">
        <f t="shared" si="1"/>
        <v>0.36958981437916355</v>
      </c>
    </row>
    <row r="43" spans="1:11" ht="14.5" x14ac:dyDescent="0.35">
      <c r="A43" s="20" t="s">
        <v>25</v>
      </c>
      <c r="B43" s="17">
        <v>134616.45000000001</v>
      </c>
      <c r="C43" s="17">
        <v>49688.45</v>
      </c>
      <c r="D43" s="53">
        <v>524</v>
      </c>
      <c r="E43" s="32">
        <v>0.36909999999999998</v>
      </c>
      <c r="G43" s="62" t="s">
        <v>778</v>
      </c>
      <c r="H43" s="9">
        <v>680363.2</v>
      </c>
      <c r="I43" s="9">
        <v>251066.2</v>
      </c>
      <c r="J43" s="9">
        <v>2710</v>
      </c>
      <c r="K43" s="47">
        <f t="shared" si="1"/>
        <v>0.3690179010269809</v>
      </c>
    </row>
    <row r="44" spans="1:11" ht="14.5" x14ac:dyDescent="0.35">
      <c r="A44" s="20" t="s">
        <v>46</v>
      </c>
      <c r="B44" s="17">
        <v>93198.05</v>
      </c>
      <c r="C44" s="17">
        <v>34445.050000000003</v>
      </c>
      <c r="D44" s="53">
        <v>426</v>
      </c>
      <c r="E44" s="32">
        <v>0.36959999999999998</v>
      </c>
    </row>
    <row r="45" spans="1:11" s="62" customFormat="1" ht="14.5" x14ac:dyDescent="0.35">
      <c r="A45" s="58" t="s">
        <v>778</v>
      </c>
      <c r="B45" s="59">
        <v>680363.2</v>
      </c>
      <c r="C45" s="59">
        <v>251066.2</v>
      </c>
      <c r="D45" s="60">
        <v>2710</v>
      </c>
      <c r="E45" s="61">
        <v>0.36899999999999999</v>
      </c>
      <c r="H45" s="3" t="s">
        <v>784</v>
      </c>
      <c r="I45" s="3"/>
    </row>
    <row r="47" spans="1:11" ht="14.5" x14ac:dyDescent="0.35">
      <c r="G47" s="28" t="s">
        <v>783</v>
      </c>
      <c r="H47" s="29" t="s">
        <v>771</v>
      </c>
      <c r="I47" s="49" t="s">
        <v>772</v>
      </c>
      <c r="J47" s="30" t="s">
        <v>777</v>
      </c>
      <c r="K47" s="31" t="s">
        <v>770</v>
      </c>
    </row>
    <row r="48" spans="1:11" ht="14.5" x14ac:dyDescent="0.35">
      <c r="A48" s="5" t="s">
        <v>785</v>
      </c>
      <c r="B48" s="5"/>
      <c r="C48" s="5"/>
      <c r="G48" s="69" t="s">
        <v>786</v>
      </c>
      <c r="H48" s="70">
        <v>680363.2</v>
      </c>
      <c r="I48" s="51">
        <v>251066.2</v>
      </c>
      <c r="J48" s="52">
        <v>2710</v>
      </c>
      <c r="K48" s="48"/>
    </row>
    <row r="49" spans="1:11" ht="14.5" x14ac:dyDescent="0.35">
      <c r="G49" s="71" t="s">
        <v>787</v>
      </c>
      <c r="H49" s="72">
        <v>37598.449999999997</v>
      </c>
      <c r="I49" s="54">
        <v>13649.45</v>
      </c>
      <c r="J49" s="55">
        <v>157</v>
      </c>
      <c r="K49" s="18">
        <f t="shared" ref="K49:K61" si="2">I49/H49</f>
        <v>0.36303225265935168</v>
      </c>
    </row>
    <row r="50" spans="1:11" ht="14.5" x14ac:dyDescent="0.35">
      <c r="A50" s="26" t="s">
        <v>788</v>
      </c>
      <c r="B50" s="27" t="s">
        <v>10</v>
      </c>
      <c r="C50" s="27" t="s">
        <v>12</v>
      </c>
      <c r="D50" s="27" t="s">
        <v>7</v>
      </c>
      <c r="E50" s="27" t="s">
        <v>770</v>
      </c>
      <c r="G50" s="71" t="s">
        <v>789</v>
      </c>
      <c r="H50" s="72">
        <v>57939.1</v>
      </c>
      <c r="I50" s="54">
        <v>21803.1</v>
      </c>
      <c r="J50" s="55">
        <v>270</v>
      </c>
      <c r="K50" s="18">
        <f t="shared" si="2"/>
        <v>0.37631064341696713</v>
      </c>
    </row>
    <row r="51" spans="1:11" ht="14.5" x14ac:dyDescent="0.35">
      <c r="A51" s="20" t="s">
        <v>787</v>
      </c>
      <c r="B51" s="17">
        <v>37598.449999999997</v>
      </c>
      <c r="C51" s="17">
        <v>13649.45</v>
      </c>
      <c r="D51" s="53">
        <v>157</v>
      </c>
      <c r="E51" s="32">
        <v>0.36299999999999999</v>
      </c>
      <c r="G51" s="71" t="s">
        <v>790</v>
      </c>
      <c r="H51" s="72">
        <v>52832.35</v>
      </c>
      <c r="I51" s="54">
        <v>19522.349999999999</v>
      </c>
      <c r="J51" s="55">
        <v>178</v>
      </c>
      <c r="K51" s="18">
        <f t="shared" si="2"/>
        <v>0.3695150793027378</v>
      </c>
    </row>
    <row r="52" spans="1:11" ht="14.5" x14ac:dyDescent="0.35">
      <c r="A52" s="20" t="s">
        <v>789</v>
      </c>
      <c r="B52" s="17">
        <v>57939.1</v>
      </c>
      <c r="C52" s="17">
        <v>21803.1</v>
      </c>
      <c r="D52" s="53">
        <v>270</v>
      </c>
      <c r="E52" s="32">
        <v>0.37630000000000002</v>
      </c>
      <c r="G52" s="71" t="s">
        <v>791</v>
      </c>
      <c r="H52" s="72">
        <v>51742.25</v>
      </c>
      <c r="I52" s="54">
        <v>18384.25</v>
      </c>
      <c r="J52" s="55">
        <v>222</v>
      </c>
      <c r="K52" s="18">
        <f t="shared" si="2"/>
        <v>0.35530441756978098</v>
      </c>
    </row>
    <row r="53" spans="1:11" ht="14.5" x14ac:dyDescent="0.35">
      <c r="A53" s="20" t="s">
        <v>790</v>
      </c>
      <c r="B53" s="17">
        <v>52832.35</v>
      </c>
      <c r="C53" s="17">
        <v>19522.349999999999</v>
      </c>
      <c r="D53" s="53">
        <v>178</v>
      </c>
      <c r="E53" s="32">
        <v>0.3695</v>
      </c>
      <c r="G53" s="71" t="s">
        <v>792</v>
      </c>
      <c r="H53" s="72">
        <v>48148</v>
      </c>
      <c r="I53" s="54">
        <v>17946</v>
      </c>
      <c r="J53" s="55">
        <v>241</v>
      </c>
      <c r="K53" s="18">
        <f t="shared" si="2"/>
        <v>0.37272576223311454</v>
      </c>
    </row>
    <row r="54" spans="1:11" ht="14.5" x14ac:dyDescent="0.35">
      <c r="A54" s="20" t="s">
        <v>791</v>
      </c>
      <c r="B54" s="17">
        <v>51742.25</v>
      </c>
      <c r="C54" s="17">
        <v>18384.25</v>
      </c>
      <c r="D54" s="53">
        <v>222</v>
      </c>
      <c r="E54" s="32">
        <v>0.3553</v>
      </c>
      <c r="G54" s="71" t="s">
        <v>793</v>
      </c>
      <c r="H54" s="72">
        <v>69846.100000000006</v>
      </c>
      <c r="I54" s="54">
        <v>26201.1</v>
      </c>
      <c r="J54" s="55">
        <v>264</v>
      </c>
      <c r="K54" s="18">
        <f t="shared" si="2"/>
        <v>0.37512617025145278</v>
      </c>
    </row>
    <row r="55" spans="1:11" ht="14.5" x14ac:dyDescent="0.35">
      <c r="A55" s="20" t="s">
        <v>792</v>
      </c>
      <c r="B55" s="17">
        <v>48148</v>
      </c>
      <c r="C55" s="17">
        <v>17946</v>
      </c>
      <c r="D55" s="53">
        <v>241</v>
      </c>
      <c r="E55" s="32">
        <v>0.37269999999999998</v>
      </c>
      <c r="G55" s="71" t="s">
        <v>794</v>
      </c>
      <c r="H55" s="72">
        <v>40244.35</v>
      </c>
      <c r="I55" s="54">
        <v>15074.35</v>
      </c>
      <c r="J55" s="55">
        <v>180</v>
      </c>
      <c r="K55" s="18">
        <f t="shared" si="2"/>
        <v>0.37457059189675074</v>
      </c>
    </row>
    <row r="56" spans="1:11" ht="14.5" x14ac:dyDescent="0.35">
      <c r="A56" s="20" t="s">
        <v>793</v>
      </c>
      <c r="B56" s="17">
        <v>69846.100000000006</v>
      </c>
      <c r="C56" s="17">
        <v>26201.1</v>
      </c>
      <c r="D56" s="53">
        <v>264</v>
      </c>
      <c r="E56" s="32">
        <v>0.37509999999999999</v>
      </c>
      <c r="G56" s="71" t="s">
        <v>795</v>
      </c>
      <c r="H56" s="72">
        <v>68994.75</v>
      </c>
      <c r="I56" s="54">
        <v>25363.75</v>
      </c>
      <c r="J56" s="55">
        <v>266</v>
      </c>
      <c r="K56" s="18">
        <f t="shared" si="2"/>
        <v>0.36761855068682764</v>
      </c>
    </row>
    <row r="57" spans="1:11" ht="14.5" x14ac:dyDescent="0.35">
      <c r="A57" s="20" t="s">
        <v>794</v>
      </c>
      <c r="B57" s="17">
        <v>40244.35</v>
      </c>
      <c r="C57" s="17">
        <v>15074.35</v>
      </c>
      <c r="D57" s="53">
        <v>180</v>
      </c>
      <c r="E57" s="32">
        <v>0.37459999999999999</v>
      </c>
      <c r="G57" s="71" t="s">
        <v>796</v>
      </c>
      <c r="H57" s="72">
        <v>82880.95</v>
      </c>
      <c r="I57" s="54">
        <v>30936.95</v>
      </c>
      <c r="J57" s="55">
        <v>278</v>
      </c>
      <c r="K57" s="18">
        <f t="shared" si="2"/>
        <v>0.37326973206750164</v>
      </c>
    </row>
    <row r="58" spans="1:11" ht="14.5" x14ac:dyDescent="0.35">
      <c r="A58" s="20" t="s">
        <v>795</v>
      </c>
      <c r="B58" s="17">
        <v>68994.75</v>
      </c>
      <c r="C58" s="17">
        <v>25363.75</v>
      </c>
      <c r="D58" s="53">
        <v>266</v>
      </c>
      <c r="E58" s="32">
        <v>0.36759999999999998</v>
      </c>
      <c r="G58" s="71" t="s">
        <v>797</v>
      </c>
      <c r="H58" s="72">
        <v>44639.1</v>
      </c>
      <c r="I58" s="54">
        <v>16444.099999999999</v>
      </c>
      <c r="J58" s="55">
        <v>191</v>
      </c>
      <c r="K58" s="18">
        <f t="shared" si="2"/>
        <v>0.36837884276340693</v>
      </c>
    </row>
    <row r="59" spans="1:11" ht="14.5" x14ac:dyDescent="0.35">
      <c r="A59" s="20" t="s">
        <v>796</v>
      </c>
      <c r="B59" s="13">
        <v>82880.95</v>
      </c>
      <c r="C59" s="13">
        <v>30936.95</v>
      </c>
      <c r="D59" s="73">
        <v>278</v>
      </c>
      <c r="E59" s="32">
        <v>0.37330000000000002</v>
      </c>
      <c r="G59" s="71" t="s">
        <v>798</v>
      </c>
      <c r="H59" s="72">
        <v>62686.15</v>
      </c>
      <c r="I59" s="54">
        <v>23158.15</v>
      </c>
      <c r="J59" s="55">
        <v>199</v>
      </c>
      <c r="K59" s="18">
        <f t="shared" si="2"/>
        <v>0.3694300894216665</v>
      </c>
    </row>
    <row r="60" spans="1:11" ht="14.5" x14ac:dyDescent="0.35">
      <c r="A60" s="20" t="s">
        <v>797</v>
      </c>
      <c r="B60" s="17">
        <v>44639.1</v>
      </c>
      <c r="C60" s="17">
        <v>16444.099999999999</v>
      </c>
      <c r="D60" s="53">
        <v>191</v>
      </c>
      <c r="E60" s="32">
        <v>0.36840000000000001</v>
      </c>
      <c r="G60" s="74" t="s">
        <v>799</v>
      </c>
      <c r="H60" s="75">
        <v>62811.65</v>
      </c>
      <c r="I60" s="56">
        <v>22582.65</v>
      </c>
      <c r="J60" s="57">
        <v>264</v>
      </c>
      <c r="K60" s="18">
        <f t="shared" si="2"/>
        <v>0.3595296413961423</v>
      </c>
    </row>
    <row r="61" spans="1:11" ht="14.5" x14ac:dyDescent="0.35">
      <c r="A61" s="20" t="s">
        <v>798</v>
      </c>
      <c r="B61" s="17">
        <v>62686.15</v>
      </c>
      <c r="C61" s="17">
        <v>23158.15</v>
      </c>
      <c r="D61" s="53">
        <v>199</v>
      </c>
      <c r="E61" s="32">
        <v>0.36940000000000001</v>
      </c>
      <c r="G61" s="76" t="s">
        <v>774</v>
      </c>
      <c r="H61" s="45">
        <v>680363.2</v>
      </c>
      <c r="I61" s="63">
        <v>251066.2</v>
      </c>
      <c r="J61" s="64">
        <v>2710</v>
      </c>
      <c r="K61" s="77">
        <f t="shared" si="2"/>
        <v>0.3690179010269809</v>
      </c>
    </row>
    <row r="62" spans="1:11" ht="14.5" x14ac:dyDescent="0.35">
      <c r="A62" s="20" t="s">
        <v>799</v>
      </c>
      <c r="B62" s="17">
        <v>62811.65</v>
      </c>
      <c r="C62" s="17">
        <v>22582.65</v>
      </c>
      <c r="D62" s="53">
        <v>264</v>
      </c>
      <c r="E62" s="32">
        <v>0.35949999999999999</v>
      </c>
    </row>
    <row r="63" spans="1:11" s="62" customFormat="1" ht="14.5" x14ac:dyDescent="0.35">
      <c r="A63" s="58" t="s">
        <v>778</v>
      </c>
      <c r="B63" s="59">
        <v>680363.2</v>
      </c>
      <c r="C63" s="59">
        <v>251066.2</v>
      </c>
      <c r="D63" s="60">
        <v>2710</v>
      </c>
      <c r="E63" s="61">
        <v>0.36899999999999999</v>
      </c>
    </row>
  </sheetData>
  <mergeCells count="10">
    <mergeCell ref="A26:C26"/>
    <mergeCell ref="H34:I34"/>
    <mergeCell ref="A36:C36"/>
    <mergeCell ref="H45:I45"/>
    <mergeCell ref="A48:C48"/>
    <mergeCell ref="B1:C1"/>
    <mergeCell ref="H1:I1"/>
    <mergeCell ref="A16:C16"/>
    <mergeCell ref="H16:I16"/>
    <mergeCell ref="H25:I2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zoomScaleNormal="100" workbookViewId="0">
      <selection activeCell="F5" sqref="F5"/>
    </sheetView>
  </sheetViews>
  <sheetFormatPr defaultColWidth="8.6328125" defaultRowHeight="14.25" customHeight="1" x14ac:dyDescent="0.35"/>
  <cols>
    <col min="1" max="1" width="12.7265625" style="9" customWidth="1"/>
    <col min="2" max="2" width="16.36328125" style="9" customWidth="1"/>
    <col min="3" max="3" width="18.08984375" style="9" customWidth="1"/>
    <col min="4" max="4" width="6.08984375" style="9" customWidth="1"/>
    <col min="5" max="5" width="32.54296875" style="9" customWidth="1"/>
  </cols>
  <sheetData>
    <row r="1" spans="1:5" ht="14.5" x14ac:dyDescent="0.35">
      <c r="A1" s="78" t="s">
        <v>800</v>
      </c>
      <c r="B1" s="78" t="s">
        <v>801</v>
      </c>
      <c r="C1" s="78" t="s">
        <v>802</v>
      </c>
      <c r="D1" s="78" t="s">
        <v>803</v>
      </c>
      <c r="E1" s="78" t="s">
        <v>804</v>
      </c>
    </row>
    <row r="2" spans="1:5" ht="14.5" x14ac:dyDescent="0.35">
      <c r="A2" s="22" t="s">
        <v>805</v>
      </c>
      <c r="B2" s="20">
        <v>500</v>
      </c>
      <c r="C2" s="20">
        <v>500</v>
      </c>
      <c r="D2" s="20" t="s">
        <v>806</v>
      </c>
      <c r="E2" s="9" t="s">
        <v>807</v>
      </c>
    </row>
    <row r="3" spans="1:5" ht="14.5" x14ac:dyDescent="0.35">
      <c r="A3" s="22" t="s">
        <v>808</v>
      </c>
      <c r="B3" s="20">
        <v>14</v>
      </c>
      <c r="C3" s="20">
        <v>14</v>
      </c>
      <c r="D3" s="20" t="s">
        <v>806</v>
      </c>
      <c r="E3" s="9" t="s">
        <v>809</v>
      </c>
    </row>
    <row r="4" spans="1:5" ht="14.5" x14ac:dyDescent="0.35">
      <c r="A4" s="22" t="s">
        <v>810</v>
      </c>
      <c r="B4" s="20" t="s">
        <v>811</v>
      </c>
      <c r="C4" s="79" t="s">
        <v>812</v>
      </c>
      <c r="D4" s="20" t="s">
        <v>806</v>
      </c>
      <c r="E4" s="79" t="s">
        <v>813</v>
      </c>
    </row>
    <row r="5" spans="1:5" ht="28.5" customHeight="1" x14ac:dyDescent="0.35">
      <c r="A5" s="20" t="s">
        <v>7</v>
      </c>
      <c r="B5" s="20" t="s">
        <v>814</v>
      </c>
      <c r="C5" s="20" t="s">
        <v>815</v>
      </c>
      <c r="D5" s="20" t="s">
        <v>806</v>
      </c>
      <c r="E5" s="25" t="s">
        <v>816</v>
      </c>
    </row>
    <row r="6" spans="1:5" ht="28.5" customHeight="1" x14ac:dyDescent="0.35">
      <c r="A6" s="20" t="s">
        <v>817</v>
      </c>
      <c r="B6" s="20" t="s">
        <v>814</v>
      </c>
      <c r="C6" s="25" t="s">
        <v>818</v>
      </c>
      <c r="D6" s="20" t="s">
        <v>806</v>
      </c>
      <c r="E6" s="9" t="s">
        <v>819</v>
      </c>
    </row>
    <row r="7" spans="1:5" ht="57.75" customHeight="1" x14ac:dyDescent="0.35">
      <c r="A7" s="20" t="s">
        <v>9</v>
      </c>
      <c r="B7" s="20" t="s">
        <v>820</v>
      </c>
      <c r="C7" s="25" t="s">
        <v>821</v>
      </c>
      <c r="D7" s="20" t="s">
        <v>806</v>
      </c>
      <c r="E7" s="20" t="s">
        <v>822</v>
      </c>
    </row>
    <row r="8" spans="1:5" ht="28.5" customHeight="1" x14ac:dyDescent="0.35">
      <c r="A8" s="22" t="s">
        <v>10</v>
      </c>
      <c r="B8" s="20" t="s">
        <v>823</v>
      </c>
      <c r="C8" s="25" t="s">
        <v>824</v>
      </c>
      <c r="D8" s="20" t="s">
        <v>806</v>
      </c>
      <c r="E8" s="9" t="s">
        <v>825</v>
      </c>
    </row>
    <row r="9" spans="1:5" ht="28.5" customHeight="1" x14ac:dyDescent="0.35">
      <c r="A9" s="22" t="s">
        <v>11</v>
      </c>
      <c r="B9" s="20" t="s">
        <v>823</v>
      </c>
      <c r="C9" s="25" t="s">
        <v>826</v>
      </c>
      <c r="D9" s="20" t="s">
        <v>806</v>
      </c>
      <c r="E9" s="9" t="s">
        <v>827</v>
      </c>
    </row>
    <row r="10" spans="1:5" ht="28.5" customHeight="1" x14ac:dyDescent="0.35">
      <c r="A10" s="22" t="s">
        <v>12</v>
      </c>
      <c r="B10" s="20" t="s">
        <v>828</v>
      </c>
      <c r="C10" s="79" t="s">
        <v>829</v>
      </c>
      <c r="D10" s="20" t="s">
        <v>806</v>
      </c>
      <c r="E10" s="25" t="s">
        <v>830</v>
      </c>
    </row>
    <row r="11" spans="1:5" ht="28.5" customHeight="1" x14ac:dyDescent="0.35">
      <c r="A11" s="22" t="s">
        <v>770</v>
      </c>
      <c r="B11" s="20" t="s">
        <v>831</v>
      </c>
      <c r="C11" s="79" t="s">
        <v>829</v>
      </c>
      <c r="D11" s="20" t="s">
        <v>806</v>
      </c>
      <c r="E11" s="25" t="s">
        <v>832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9:G26"/>
  <sheetViews>
    <sheetView tabSelected="1" zoomScaleNormal="100" workbookViewId="0">
      <selection activeCell="J12" sqref="J12"/>
    </sheetView>
  </sheetViews>
  <sheetFormatPr defaultColWidth="8.6328125" defaultRowHeight="14.25" customHeight="1" x14ac:dyDescent="0.35"/>
  <cols>
    <col min="1" max="1" width="10.7265625" style="9" customWidth="1"/>
    <col min="2" max="2" width="9.90625" style="9" customWidth="1"/>
    <col min="3" max="7" width="17.08984375" style="9" customWidth="1"/>
  </cols>
  <sheetData>
    <row r="19" spans="2:7" x14ac:dyDescent="0.35">
      <c r="B19" s="5" t="s">
        <v>775</v>
      </c>
      <c r="C19" s="5"/>
      <c r="D19" s="5"/>
      <c r="E19" s="5"/>
      <c r="F19" s="5"/>
      <c r="G19" s="80"/>
    </row>
    <row r="21" spans="2:7" x14ac:dyDescent="0.35">
      <c r="C21" s="26" t="s">
        <v>4</v>
      </c>
      <c r="D21" s="27" t="s">
        <v>10</v>
      </c>
      <c r="E21" s="27" t="s">
        <v>12</v>
      </c>
      <c r="F21" s="27" t="s">
        <v>7</v>
      </c>
      <c r="G21" s="27" t="s">
        <v>770</v>
      </c>
    </row>
    <row r="22" spans="2:7" x14ac:dyDescent="0.35">
      <c r="C22" s="20" t="s">
        <v>23</v>
      </c>
      <c r="D22" s="17">
        <v>64582</v>
      </c>
      <c r="E22" s="17">
        <v>28765</v>
      </c>
      <c r="F22" s="16">
        <v>1159</v>
      </c>
      <c r="G22" s="50">
        <v>0.44540000000000002</v>
      </c>
    </row>
    <row r="23" spans="2:7" x14ac:dyDescent="0.35">
      <c r="C23" s="20" t="s">
        <v>29</v>
      </c>
      <c r="D23" s="17">
        <v>391768.5</v>
      </c>
      <c r="E23" s="17">
        <v>139378.5</v>
      </c>
      <c r="F23" s="53">
        <v>657</v>
      </c>
      <c r="G23" s="50">
        <v>0.35580000000000001</v>
      </c>
    </row>
    <row r="24" spans="2:7" x14ac:dyDescent="0.35">
      <c r="C24" s="20" t="s">
        <v>34</v>
      </c>
      <c r="D24" s="17">
        <v>167323.20000000001</v>
      </c>
      <c r="E24" s="17">
        <v>61483.199999999997</v>
      </c>
      <c r="F24" s="53">
        <v>612</v>
      </c>
      <c r="G24" s="50">
        <v>0.36749999999999999</v>
      </c>
    </row>
    <row r="25" spans="2:7" x14ac:dyDescent="0.35">
      <c r="C25" s="20" t="s">
        <v>17</v>
      </c>
      <c r="D25" s="17">
        <v>56689.5</v>
      </c>
      <c r="E25" s="17">
        <v>21439.5</v>
      </c>
      <c r="F25" s="53">
        <v>282</v>
      </c>
      <c r="G25" s="50">
        <v>0.37819999999999998</v>
      </c>
    </row>
    <row r="26" spans="2:7" x14ac:dyDescent="0.35">
      <c r="C26" s="58" t="s">
        <v>778</v>
      </c>
      <c r="D26" s="59">
        <v>680363.2</v>
      </c>
      <c r="E26" s="59">
        <v>251066.2</v>
      </c>
      <c r="F26" s="60">
        <v>2710</v>
      </c>
      <c r="G26" s="61">
        <v>0.36899999999999999</v>
      </c>
    </row>
  </sheetData>
  <mergeCells count="1">
    <mergeCell ref="B19:F19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showGridLines="0" zoomScale="65" zoomScaleNormal="65" workbookViewId="0">
      <selection activeCell="K23" sqref="K23"/>
    </sheetView>
  </sheetViews>
  <sheetFormatPr defaultColWidth="8.6328125" defaultRowHeight="14.25" customHeight="1" x14ac:dyDescent="0.35"/>
  <cols>
    <col min="1" max="1" width="21.1796875" style="9" customWidth="1"/>
    <col min="2" max="2" width="12.08984375" style="9" customWidth="1"/>
    <col min="3" max="3" width="20" style="9" customWidth="1"/>
    <col min="5" max="5" width="14.81640625" style="9" customWidth="1"/>
    <col min="7" max="7" width="14.54296875" style="9" customWidth="1"/>
  </cols>
  <sheetData>
    <row r="1" spans="1:8" ht="23.25" customHeight="1" x14ac:dyDescent="0.55000000000000004">
      <c r="A1" s="2" t="s">
        <v>833</v>
      </c>
      <c r="B1" s="2"/>
      <c r="C1" s="2"/>
      <c r="D1" s="2"/>
      <c r="E1" s="2"/>
      <c r="F1" s="2"/>
      <c r="G1" s="2"/>
      <c r="H1" s="2"/>
    </row>
    <row r="2" spans="1:8" ht="14.5" x14ac:dyDescent="0.35">
      <c r="A2" s="1" t="s">
        <v>834</v>
      </c>
      <c r="B2" s="1"/>
      <c r="C2" s="1"/>
      <c r="D2" s="1"/>
      <c r="E2" s="1"/>
      <c r="F2" s="1"/>
      <c r="G2" s="1"/>
      <c r="H2" s="1"/>
    </row>
    <row r="4" spans="1:8" ht="14.5" x14ac:dyDescent="0.35">
      <c r="A4" s="81" t="s">
        <v>835</v>
      </c>
      <c r="C4" s="81" t="s">
        <v>836</v>
      </c>
      <c r="E4" s="81" t="s">
        <v>837</v>
      </c>
      <c r="G4" s="81" t="s">
        <v>838</v>
      </c>
    </row>
    <row r="5" spans="1:8" ht="23.25" customHeight="1" x14ac:dyDescent="0.55000000000000004">
      <c r="A5" s="82">
        <f>'Sales Analysis'!B2</f>
        <v>680363.20000000007</v>
      </c>
      <c r="C5" s="82">
        <f>'Sales Analysis'!B4</f>
        <v>251066.20000000004</v>
      </c>
      <c r="E5" s="83">
        <f>'Sales Analysis'!B5</f>
        <v>2710</v>
      </c>
      <c r="G5" s="84">
        <f>'Sales Analysis'!B8</f>
        <v>0.3690179010269809</v>
      </c>
    </row>
    <row r="7" spans="1:8" ht="14.5" x14ac:dyDescent="0.35">
      <c r="C7" s="80"/>
    </row>
  </sheetData>
  <mergeCells count="2">
    <mergeCell ref="A1:H1"/>
    <mergeCell ref="A2:H2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8:F25"/>
  <sheetViews>
    <sheetView zoomScaleNormal="100" workbookViewId="0">
      <selection activeCell="L11" sqref="L11"/>
    </sheetView>
  </sheetViews>
  <sheetFormatPr defaultColWidth="8.6328125" defaultRowHeight="14.25" customHeight="1" x14ac:dyDescent="0.35"/>
  <cols>
    <col min="2" max="6" width="14.90625" style="9" customWidth="1"/>
  </cols>
  <sheetData>
    <row r="18" spans="2:6" ht="14.5" x14ac:dyDescent="0.35">
      <c r="B18" s="5" t="s">
        <v>780</v>
      </c>
      <c r="C18" s="5"/>
      <c r="D18" s="5"/>
      <c r="E18" s="66"/>
    </row>
    <row r="20" spans="2:6" ht="28.5" customHeight="1" x14ac:dyDescent="0.35">
      <c r="B20" s="26" t="s">
        <v>5</v>
      </c>
      <c r="C20" s="27" t="s">
        <v>10</v>
      </c>
      <c r="D20" s="27" t="s">
        <v>12</v>
      </c>
      <c r="E20" s="27" t="s">
        <v>7</v>
      </c>
      <c r="F20" s="27" t="s">
        <v>770</v>
      </c>
    </row>
    <row r="21" spans="2:6" ht="14.5" x14ac:dyDescent="0.35">
      <c r="B21" s="20" t="s">
        <v>18</v>
      </c>
      <c r="C21" s="17">
        <v>202585.5</v>
      </c>
      <c r="D21" s="17">
        <v>73182.5</v>
      </c>
      <c r="E21" s="53">
        <v>717</v>
      </c>
      <c r="F21" s="50">
        <v>0.36120000000000002</v>
      </c>
    </row>
    <row r="22" spans="2:6" ht="14.5" x14ac:dyDescent="0.35">
      <c r="B22" s="20" t="s">
        <v>30</v>
      </c>
      <c r="C22" s="17">
        <v>146616.35</v>
      </c>
      <c r="D22" s="17">
        <v>54639.35</v>
      </c>
      <c r="E22" s="53">
        <v>652</v>
      </c>
      <c r="F22" s="50">
        <v>0.37269999999999998</v>
      </c>
    </row>
    <row r="23" spans="2:6" ht="14.5" x14ac:dyDescent="0.35">
      <c r="B23" s="20" t="s">
        <v>24</v>
      </c>
      <c r="C23" s="17">
        <v>180766.1</v>
      </c>
      <c r="D23" s="17">
        <v>67928.100000000006</v>
      </c>
      <c r="E23" s="53">
        <v>733</v>
      </c>
      <c r="F23" s="50">
        <v>0.37580000000000002</v>
      </c>
    </row>
    <row r="24" spans="2:6" ht="14.5" x14ac:dyDescent="0.35">
      <c r="B24" s="20" t="s">
        <v>38</v>
      </c>
      <c r="C24" s="17">
        <v>150395.25</v>
      </c>
      <c r="D24" s="17">
        <v>55316.25</v>
      </c>
      <c r="E24" s="53">
        <v>608</v>
      </c>
      <c r="F24" s="50">
        <v>0.36780000000000002</v>
      </c>
    </row>
    <row r="25" spans="2:6" ht="14.5" x14ac:dyDescent="0.35">
      <c r="B25" s="58" t="s">
        <v>778</v>
      </c>
      <c r="C25" s="59">
        <v>680363.2</v>
      </c>
      <c r="D25" s="59">
        <v>251066.2</v>
      </c>
      <c r="E25" s="60">
        <v>2710</v>
      </c>
      <c r="F25" s="61">
        <v>0.36899999999999999</v>
      </c>
    </row>
  </sheetData>
  <mergeCells count="1">
    <mergeCell ref="B18:D18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0:F35"/>
  <sheetViews>
    <sheetView zoomScaleNormal="100" workbookViewId="0">
      <selection activeCell="H7" sqref="H7"/>
    </sheetView>
  </sheetViews>
  <sheetFormatPr defaultColWidth="8.6328125" defaultRowHeight="14.25" customHeight="1" x14ac:dyDescent="0.35"/>
  <cols>
    <col min="1" max="1" width="6.54296875" style="9" customWidth="1"/>
    <col min="2" max="6" width="12.7265625" style="9" customWidth="1"/>
  </cols>
  <sheetData>
    <row r="20" spans="2:6" ht="14.5" x14ac:dyDescent="0.35">
      <c r="B20" s="5" t="s">
        <v>785</v>
      </c>
      <c r="C20" s="5"/>
      <c r="D20" s="5"/>
    </row>
    <row r="22" spans="2:6" ht="14.5" x14ac:dyDescent="0.35">
      <c r="B22" s="26" t="s">
        <v>788</v>
      </c>
      <c r="C22" s="27" t="s">
        <v>10</v>
      </c>
      <c r="D22" s="27" t="s">
        <v>12</v>
      </c>
      <c r="E22" s="27" t="s">
        <v>7</v>
      </c>
      <c r="F22" s="27" t="s">
        <v>770</v>
      </c>
    </row>
    <row r="23" spans="2:6" ht="14.5" x14ac:dyDescent="0.35">
      <c r="B23" s="20" t="s">
        <v>787</v>
      </c>
      <c r="C23" s="17">
        <v>37598.449999999997</v>
      </c>
      <c r="D23" s="17">
        <v>13649.45</v>
      </c>
      <c r="E23" s="53">
        <v>157</v>
      </c>
      <c r="F23" s="32">
        <v>0.36299999999999999</v>
      </c>
    </row>
    <row r="24" spans="2:6" ht="14.5" x14ac:dyDescent="0.35">
      <c r="B24" s="20" t="s">
        <v>789</v>
      </c>
      <c r="C24" s="17">
        <v>57939.1</v>
      </c>
      <c r="D24" s="17">
        <v>21803.1</v>
      </c>
      <c r="E24" s="53">
        <v>270</v>
      </c>
      <c r="F24" s="32">
        <v>0.37630000000000002</v>
      </c>
    </row>
    <row r="25" spans="2:6" ht="14.5" x14ac:dyDescent="0.35">
      <c r="B25" s="20" t="s">
        <v>790</v>
      </c>
      <c r="C25" s="17">
        <v>52832.35</v>
      </c>
      <c r="D25" s="17">
        <v>19522.349999999999</v>
      </c>
      <c r="E25" s="53">
        <v>178</v>
      </c>
      <c r="F25" s="32">
        <v>0.3695</v>
      </c>
    </row>
    <row r="26" spans="2:6" ht="14.5" x14ac:dyDescent="0.35">
      <c r="B26" s="20" t="s">
        <v>791</v>
      </c>
      <c r="C26" s="17">
        <v>51742.25</v>
      </c>
      <c r="D26" s="17">
        <v>18384.25</v>
      </c>
      <c r="E26" s="53">
        <v>222</v>
      </c>
      <c r="F26" s="32">
        <v>0.3553</v>
      </c>
    </row>
    <row r="27" spans="2:6" ht="14.5" x14ac:dyDescent="0.35">
      <c r="B27" s="20" t="s">
        <v>792</v>
      </c>
      <c r="C27" s="17">
        <v>48148</v>
      </c>
      <c r="D27" s="17">
        <v>17946</v>
      </c>
      <c r="E27" s="53">
        <v>241</v>
      </c>
      <c r="F27" s="32">
        <v>0.37269999999999998</v>
      </c>
    </row>
    <row r="28" spans="2:6" ht="14.5" x14ac:dyDescent="0.35">
      <c r="B28" s="20" t="s">
        <v>793</v>
      </c>
      <c r="C28" s="17">
        <v>69846.100000000006</v>
      </c>
      <c r="D28" s="17">
        <v>26201.1</v>
      </c>
      <c r="E28" s="53">
        <v>264</v>
      </c>
      <c r="F28" s="32">
        <v>0.37509999999999999</v>
      </c>
    </row>
    <row r="29" spans="2:6" ht="14.5" x14ac:dyDescent="0.35">
      <c r="B29" s="20" t="s">
        <v>794</v>
      </c>
      <c r="C29" s="17">
        <v>40244.35</v>
      </c>
      <c r="D29" s="17">
        <v>15074.35</v>
      </c>
      <c r="E29" s="53">
        <v>180</v>
      </c>
      <c r="F29" s="32">
        <v>0.37459999999999999</v>
      </c>
    </row>
    <row r="30" spans="2:6" ht="14.5" x14ac:dyDescent="0.35">
      <c r="B30" s="20" t="s">
        <v>795</v>
      </c>
      <c r="C30" s="17">
        <v>68994.75</v>
      </c>
      <c r="D30" s="17">
        <v>25363.75</v>
      </c>
      <c r="E30" s="53">
        <v>266</v>
      </c>
      <c r="F30" s="32">
        <v>0.36759999999999998</v>
      </c>
    </row>
    <row r="31" spans="2:6" ht="14.5" x14ac:dyDescent="0.35">
      <c r="B31" s="20" t="s">
        <v>796</v>
      </c>
      <c r="C31" s="13">
        <v>82880.95</v>
      </c>
      <c r="D31" s="13">
        <v>30936.95</v>
      </c>
      <c r="E31" s="73">
        <v>278</v>
      </c>
      <c r="F31" s="32">
        <v>0.37330000000000002</v>
      </c>
    </row>
    <row r="32" spans="2:6" ht="14.5" x14ac:dyDescent="0.35">
      <c r="B32" s="20" t="s">
        <v>797</v>
      </c>
      <c r="C32" s="17">
        <v>44639.1</v>
      </c>
      <c r="D32" s="17">
        <v>16444.099999999999</v>
      </c>
      <c r="E32" s="53">
        <v>191</v>
      </c>
      <c r="F32" s="32">
        <v>0.36840000000000001</v>
      </c>
    </row>
    <row r="33" spans="2:6" ht="14.5" x14ac:dyDescent="0.35">
      <c r="B33" s="20" t="s">
        <v>798</v>
      </c>
      <c r="C33" s="17">
        <v>62686.15</v>
      </c>
      <c r="D33" s="17">
        <v>23158.15</v>
      </c>
      <c r="E33" s="53">
        <v>199</v>
      </c>
      <c r="F33" s="32">
        <v>0.36940000000000001</v>
      </c>
    </row>
    <row r="34" spans="2:6" ht="14.5" x14ac:dyDescent="0.35">
      <c r="B34" s="20" t="s">
        <v>799</v>
      </c>
      <c r="C34" s="17">
        <v>62811.65</v>
      </c>
      <c r="D34" s="17">
        <v>22582.65</v>
      </c>
      <c r="E34" s="53">
        <v>264</v>
      </c>
      <c r="F34" s="32">
        <v>0.35949999999999999</v>
      </c>
    </row>
    <row r="35" spans="2:6" ht="14.5" x14ac:dyDescent="0.35">
      <c r="B35" s="58" t="s">
        <v>778</v>
      </c>
      <c r="C35" s="59">
        <v>680363.2</v>
      </c>
      <c r="D35" s="59">
        <v>251066.2</v>
      </c>
      <c r="E35" s="60">
        <v>2710</v>
      </c>
      <c r="F35" s="61">
        <v>0.36899999999999999</v>
      </c>
    </row>
  </sheetData>
  <autoFilter ref="B22:F35" xr:uid="{00000000-0009-0000-0000-000007000000}"/>
  <mergeCells count="1">
    <mergeCell ref="B20:D2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Raw_Sales_Data</vt:lpstr>
      <vt:lpstr>Sales Analysis</vt:lpstr>
      <vt:lpstr>Product Analysis</vt:lpstr>
      <vt:lpstr>Data Inspection</vt:lpstr>
      <vt:lpstr>Revenue by Category</vt:lpstr>
      <vt:lpstr>Dashboard</vt:lpstr>
      <vt:lpstr>Regional Revenue</vt:lpstr>
      <vt:lpstr>Monthly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Friday Onyolu</cp:lastModifiedBy>
  <dcterms:modified xsi:type="dcterms:W3CDTF">2026-09-23T18:35:07Z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2026-09-22T15:11:39Z</dcterms:created>
  <dc:creator>openpyxl</dc:creator>
  <dc:description/>
  <dc:language>en-US</dc:language>
  <cp:lastModifiedBy>Friday Onyolu</cp:lastModifiedBy>
  <dcterms:modified xsi:type="dcterms:W3CDTF">2026-09-23T18:21:55Z</dcterms:modified>
  <cp:revision>0</cp:revision>
  <dc:subject/>
  <dc:title/>
</cp:coreProperties>
</file>